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DieseArbeitsmappe" defaultThemeVersion="124226"/>
  <bookViews>
    <workbookView xWindow="120" yWindow="105" windowWidth="15120" windowHeight="8010"/>
  </bookViews>
  <sheets>
    <sheet name="Zeitplan" sheetId="1" r:id="rId1"/>
    <sheet name="Tätigkeiten &amp; Meilensteine" sheetId="2" r:id="rId2"/>
  </sheets>
  <calcPr calcId="125725"/>
</workbook>
</file>

<file path=xl/calcChain.xml><?xml version="1.0" encoding="utf-8"?>
<calcChain xmlns="http://schemas.openxmlformats.org/spreadsheetml/2006/main">
  <c r="J36" i="1"/>
  <c r="I39" l="1"/>
  <c r="I38"/>
  <c r="I37"/>
  <c r="I36"/>
  <c r="I35"/>
  <c r="I34"/>
  <c r="I33"/>
  <c r="J16"/>
  <c r="J12"/>
  <c r="J13"/>
  <c r="J14"/>
  <c r="J10"/>
  <c r="J8"/>
  <c r="H42" l="1"/>
  <c r="I41" l="1"/>
  <c r="I31"/>
  <c r="I28"/>
  <c r="I19"/>
  <c r="I20"/>
  <c r="I21"/>
  <c r="I22"/>
  <c r="I23"/>
  <c r="I24"/>
  <c r="I26"/>
  <c r="I18"/>
  <c r="I16"/>
  <c r="I12"/>
  <c r="I14"/>
  <c r="I11"/>
  <c r="J11" s="1"/>
  <c r="I10"/>
  <c r="I8"/>
  <c r="V42" l="1"/>
  <c r="AD42"/>
  <c r="W42"/>
  <c r="X42"/>
  <c r="Y42"/>
  <c r="Z42"/>
  <c r="AA42"/>
  <c r="AB42"/>
  <c r="AC42"/>
  <c r="AE42"/>
  <c r="AF42"/>
  <c r="AG42"/>
  <c r="AH42"/>
  <c r="AI42"/>
  <c r="N42"/>
  <c r="O42"/>
  <c r="P42"/>
  <c r="Q42"/>
  <c r="R42"/>
  <c r="S42"/>
  <c r="I42" l="1"/>
</calcChain>
</file>

<file path=xl/sharedStrings.xml><?xml version="1.0" encoding="utf-8"?>
<sst xmlns="http://schemas.openxmlformats.org/spreadsheetml/2006/main" count="170" uniqueCount="105">
  <si>
    <t>Zeitplan IPA</t>
  </si>
  <si>
    <t>Abhängigkeit</t>
  </si>
  <si>
    <t>Aufwand</t>
  </si>
  <si>
    <t>Status</t>
  </si>
  <si>
    <t>Geplanter Ablauf</t>
  </si>
  <si>
    <t>Tätigkeiten</t>
  </si>
  <si>
    <t>Voraussetzung</t>
  </si>
  <si>
    <t>Nächster Schritt</t>
  </si>
  <si>
    <t>Soll [h]</t>
  </si>
  <si>
    <t>Ist [h]</t>
  </si>
  <si>
    <t>Meilenstein
[Datum]</t>
  </si>
  <si>
    <t>Karfreitag</t>
  </si>
  <si>
    <t>Ostermontag</t>
  </si>
  <si>
    <t>Soll</t>
  </si>
  <si>
    <t>Ist</t>
  </si>
  <si>
    <t>Informieren</t>
  </si>
  <si>
    <t>Planen</t>
  </si>
  <si>
    <t>Vorlagen und IPA-Bericht aufbauen</t>
  </si>
  <si>
    <t>Arbeitsumgebung einrichten</t>
  </si>
  <si>
    <t>Entscheiden</t>
  </si>
  <si>
    <t>Akzeptanztest-Spezifikation ermitteln</t>
  </si>
  <si>
    <t>Realisieren</t>
  </si>
  <si>
    <t>White-Box Testfälle ermitteln</t>
  </si>
  <si>
    <t>Help-Funktion erstellen</t>
  </si>
  <si>
    <t>Kontrollieren</t>
  </si>
  <si>
    <t>White-Box-Test durchführen</t>
  </si>
  <si>
    <t>Akzeptanz-Test durchführen</t>
  </si>
  <si>
    <t>Diverses</t>
  </si>
  <si>
    <t>Arbeitsjournal führen</t>
  </si>
  <si>
    <t>IPA-Bericht führen</t>
  </si>
  <si>
    <t>Gespräch mit Erstexpert (Kick-Off)</t>
  </si>
  <si>
    <t>Puffer / Reserve</t>
  </si>
  <si>
    <t>Pufferzeit</t>
  </si>
  <si>
    <t xml:space="preserve">Total: </t>
  </si>
  <si>
    <t>x</t>
  </si>
  <si>
    <t>IPA Fatma Yilmaz</t>
  </si>
  <si>
    <t>Projektauftrag lesen und verstehen</t>
  </si>
  <si>
    <t>Tätigkeiten und Meilensteine definieren</t>
  </si>
  <si>
    <t xml:space="preserve">Soll- Zeitplan mit geplantem Ablauf  </t>
  </si>
  <si>
    <t>Bedienoberfläche erstellen und benennen</t>
  </si>
  <si>
    <t>Struktogramme/Flussdiagramme erstellen</t>
  </si>
  <si>
    <t>Implementierung von “Modify” , “CheckList”, “CheckDevices“, “Select, Deselect”</t>
  </si>
  <si>
    <t>Implementierung von “Import EDE Data”</t>
  </si>
  <si>
    <t>Implementierung von “Delete EDE Data”</t>
  </si>
  <si>
    <t>Implementierung von “Tidy Up EDE Data”</t>
  </si>
  <si>
    <t>Usability Improve/ Error Handling</t>
  </si>
  <si>
    <t>Auswerten</t>
  </si>
  <si>
    <t>Schlussbericht verfassen</t>
  </si>
  <si>
    <t>Zeitplan IST-Zustand einfügen</t>
  </si>
  <si>
    <t>Statusmeeting mit Auftraggeber</t>
  </si>
  <si>
    <t xml:space="preserve">Administratives/Organisatorisches </t>
  </si>
  <si>
    <t>Abgabe: drucken, binden, Upload</t>
  </si>
  <si>
    <t>Ist-Zeit</t>
  </si>
  <si>
    <t>Soll-Zeit</t>
  </si>
  <si>
    <t>22..03.2016</t>
  </si>
  <si>
    <t>4.3-4.7</t>
  </si>
  <si>
    <t>Differenz [h]</t>
  </si>
  <si>
    <t>Meilensteine</t>
  </si>
  <si>
    <t>ID</t>
  </si>
  <si>
    <t xml:space="preserve">Meilensteine </t>
  </si>
  <si>
    <t>Erledigte Arbeitsschritte</t>
  </si>
  <si>
    <t xml:space="preserve">Datum </t>
  </si>
  <si>
    <t>Implementierung von "Import EDE Data"</t>
  </si>
  <si>
    <t xml:space="preserve">Help- Funktion erstellen </t>
  </si>
  <si>
    <t>1.1 bis 2.2</t>
  </si>
  <si>
    <t>2.3 bis 4.1</t>
  </si>
  <si>
    <t>4.2 bis 4.4</t>
  </si>
  <si>
    <t>4.5 bis 4.9</t>
  </si>
  <si>
    <t>5.1 bis 6.1</t>
  </si>
  <si>
    <t>Erklärung</t>
  </si>
  <si>
    <t xml:space="preserve">Die detaillierte Aufgabenstellung gemäss PkOrg lesen und verstehen </t>
  </si>
  <si>
    <t xml:space="preserve">Tätigkeiten und Meilensteine definieren </t>
  </si>
  <si>
    <t xml:space="preserve">Arbeitseinheiten finden und erklären und mit definierten Meilensteinen festlegen, zu welchem Zeitpunkt die verschiedene Aufgaben oder Tätigkeiten fertig sein sollen. </t>
  </si>
  <si>
    <t>In dem Soll-Zeitplan wird festgelegt, welche Tätigkeiten wann ausgeführt werden.</t>
  </si>
  <si>
    <t>Vorlagen und IPA- Bericht aufbauen</t>
  </si>
  <si>
    <t>Vorlagen für Arbeitsjournal, White-Box-Test und Akzeptanz-Test erstellen und IPA-Dokumentation gliedern</t>
  </si>
  <si>
    <t xml:space="preserve">Arbeitsumgebung einrichten </t>
  </si>
  <si>
    <t>Die Arbeitsumgebung wurde bereits vor der IPA ausgestattet</t>
  </si>
  <si>
    <t>Akzepttanztest- Spezifikationen ermitteln</t>
  </si>
  <si>
    <t>Es wird mit Hilfe der Anforderungen der Akzeptanztest ermittelt, der später im verlaufenden Zeit von einem Siemens Mitarbeiter durchgeführt wird</t>
  </si>
  <si>
    <t xml:space="preserve">Die Bedienoberfläche wird im Excel grafisch dargestellt. Für die Oberfläche werden die ActiveX- Steuerelemente verwendet. </t>
  </si>
  <si>
    <t>Die unübersichtlichen User-Interaktionen auf dem Bedienoberfläche werden Struktogramme oder Flussdiagramme dargestellt</t>
  </si>
  <si>
    <t>Für die Active X Steuerelemente „Modify“, „CheckList“, „CheckDevices“ und „Select/Deselect“ werden Funktionen/Prozeduren  übertragen</t>
  </si>
  <si>
    <t xml:space="preserve">Für die Active X Steuerelement „Import“ wird eine Funktion übergeben und wird gemäss Struktogramm implementiert </t>
  </si>
  <si>
    <t xml:space="preserve">Für „ Delete“ wird eine Funktion/Prozedur verliehen und gemäss Struktogramm implementiert. </t>
  </si>
  <si>
    <t xml:space="preserve">Zu „Tidy Up“ wird eine Funktion/Prozedur ausgezeichnet und gemäss Struktogramm implementiert </t>
  </si>
  <si>
    <t>Mit dem Stand nach #4.3, #4.4, #4.5, #4.6 werden die einzelne White-Box- Testfälle ausspäht</t>
  </si>
  <si>
    <t xml:space="preserve">Die Bedienoberfläche ist anwenderfreundlich und kann auf die ungewünschte Eingaben reagieren </t>
  </si>
  <si>
    <t>Die Help Funktion wird integriert</t>
  </si>
  <si>
    <t>Die Testfälle, die im Schritt #4.7 definiert worden sind, durchführen</t>
  </si>
  <si>
    <t>Die Testfälle, die im Schritt #3.1 definiert worden sind, durchführen</t>
  </si>
  <si>
    <t xml:space="preserve">In einen Schlussbericht gehört die eigene Meinung von IPA-Ausführende, die Erlebnisse, was war gut und was war nicht gut </t>
  </si>
  <si>
    <t>Der Zeitplan wird am jeden Tag mit dem IST-Stundenanzahl vervollständigt</t>
  </si>
  <si>
    <t>Jeden Abend, bevor  die IPA-Ausführende nach Hause geht, wird zuerst die Arbeitsjournal ausarbeitet</t>
  </si>
  <si>
    <t>Alle Arbeitsschritte und Bestandteile werden im IPA- Bericht referiert.</t>
  </si>
  <si>
    <t xml:space="preserve">Jeden zweiten Tag wird mit dem Auftraggeber ca. 30 min lang über die Arbeit konferiert  </t>
  </si>
  <si>
    <t>Gespräch mit Expert</t>
  </si>
  <si>
    <t>Erster Besuchstag . An diesem Tag werden Informationen betreffend IPA ausgetauscht.</t>
  </si>
  <si>
    <t>Unter Administratives/Organisatorisches gehört Email schreiben, BackUp machen und Termine planen</t>
  </si>
  <si>
    <t>Am 08.04 wird Ipa-Bericht mit Deckblatt 1 ausgedruckt, gebunden und dann zum Auftraggeber zugestellt. Der Zweitexpert erhält ein zweites Exemplar mit Deckblatt 2.</t>
  </si>
  <si>
    <t>Insgesamt ein Tag Pufferzeit</t>
  </si>
  <si>
    <t>Implementierung von “Modify”,“CheckList”,“CheckDevices“,“Select, Deselect”,"Actualise TsNet"</t>
  </si>
  <si>
    <t>OK</t>
  </si>
  <si>
    <t xml:space="preserve">Testkonzept erstellen </t>
  </si>
  <si>
    <t>erfolgt</t>
  </si>
</sst>
</file>

<file path=xl/styles.xml><?xml version="1.0" encoding="utf-8"?>
<styleSheet xmlns="http://schemas.openxmlformats.org/spreadsheetml/2006/main">
  <numFmts count="1">
    <numFmt numFmtId="164" formatCode="0.0"/>
  </numFmts>
  <fonts count="1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sz val="12"/>
      <name val="Times New Roman"/>
      <family val="1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lightDown">
        <bgColor theme="0" tint="-0.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Fill="0" applyBorder="0" applyProtection="0"/>
  </cellStyleXfs>
  <cellXfs count="232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left" vertical="center"/>
    </xf>
    <xf numFmtId="0" fontId="6" fillId="2" borderId="2" xfId="1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textRotation="90"/>
    </xf>
    <xf numFmtId="0" fontId="2" fillId="6" borderId="6" xfId="0" applyFont="1" applyFill="1" applyBorder="1" applyAlignment="1">
      <alignment horizontal="center" vertical="center" textRotation="90"/>
    </xf>
    <xf numFmtId="2" fontId="2" fillId="7" borderId="6" xfId="0" applyNumberFormat="1" applyFont="1" applyFill="1" applyBorder="1" applyAlignment="1">
      <alignment horizontal="center" vertical="center" textRotation="90"/>
    </xf>
    <xf numFmtId="0" fontId="2" fillId="7" borderId="6" xfId="0" applyFont="1" applyFill="1" applyBorder="1" applyAlignment="1">
      <alignment horizontal="center" vertical="center" textRotation="90"/>
    </xf>
    <xf numFmtId="0" fontId="2" fillId="8" borderId="6" xfId="0" applyFont="1" applyFill="1" applyBorder="1" applyAlignment="1">
      <alignment horizontal="center" vertical="center" textRotation="90" wrapText="1"/>
    </xf>
    <xf numFmtId="0" fontId="2" fillId="8" borderId="7" xfId="0" applyFont="1" applyFill="1" applyBorder="1" applyAlignment="1">
      <alignment horizontal="center" vertical="center" textRotation="90"/>
    </xf>
    <xf numFmtId="0" fontId="2" fillId="6" borderId="0" xfId="0" applyFont="1" applyFill="1" applyBorder="1" applyAlignment="1">
      <alignment horizontal="center" vertical="center" textRotation="90"/>
    </xf>
    <xf numFmtId="2" fontId="2" fillId="7" borderId="0" xfId="0" applyNumberFormat="1" applyFont="1" applyFill="1" applyBorder="1" applyAlignment="1">
      <alignment horizontal="center" vertical="center" textRotation="90"/>
    </xf>
    <xf numFmtId="0" fontId="2" fillId="7" borderId="0" xfId="0" applyFont="1" applyFill="1" applyBorder="1" applyAlignment="1">
      <alignment horizontal="center" vertical="center" textRotation="90"/>
    </xf>
    <xf numFmtId="0" fontId="2" fillId="8" borderId="0" xfId="0" applyFont="1" applyFill="1" applyBorder="1" applyAlignment="1">
      <alignment horizontal="center" vertical="center" textRotation="90" wrapText="1"/>
    </xf>
    <xf numFmtId="0" fontId="2" fillId="8" borderId="0" xfId="0" applyFont="1" applyFill="1" applyBorder="1" applyAlignment="1">
      <alignment horizontal="center" vertical="center" textRotation="90"/>
    </xf>
    <xf numFmtId="14" fontId="2" fillId="0" borderId="9" xfId="0" applyNumberFormat="1" applyFont="1" applyBorder="1" applyAlignment="1">
      <alignment horizontal="center" vertical="center"/>
    </xf>
    <xf numFmtId="2" fontId="2" fillId="9" borderId="2" xfId="0" applyNumberFormat="1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164" fontId="2" fillId="7" borderId="13" xfId="0" applyNumberFormat="1" applyFont="1" applyFill="1" applyBorder="1" applyAlignment="1">
      <alignment horizontal="center" vertical="center"/>
    </xf>
    <xf numFmtId="164" fontId="2" fillId="7" borderId="15" xfId="0" applyNumberFormat="1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8" borderId="16" xfId="0" applyFont="1" applyFill="1" applyBorder="1" applyAlignment="1">
      <alignment horizontal="center" vertical="center"/>
    </xf>
    <xf numFmtId="164" fontId="2" fillId="11" borderId="17" xfId="0" applyNumberFormat="1" applyFont="1" applyFill="1" applyBorder="1" applyAlignment="1">
      <alignment horizontal="center" vertical="center"/>
    </xf>
    <xf numFmtId="164" fontId="2" fillId="0" borderId="18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164" fontId="2" fillId="0" borderId="17" xfId="0" applyNumberFormat="1" applyFont="1" applyFill="1" applyBorder="1" applyAlignment="1">
      <alignment horizontal="center" vertical="center"/>
    </xf>
    <xf numFmtId="2" fontId="2" fillId="4" borderId="11" xfId="0" applyNumberFormat="1" applyFont="1" applyFill="1" applyBorder="1" applyAlignment="1">
      <alignment vertical="center"/>
    </xf>
    <xf numFmtId="2" fontId="2" fillId="4" borderId="2" xfId="0" applyNumberFormat="1" applyFont="1" applyFill="1" applyBorder="1" applyAlignment="1">
      <alignment vertical="center"/>
    </xf>
    <xf numFmtId="2" fontId="2" fillId="4" borderId="19" xfId="0" applyNumberFormat="1" applyFont="1" applyFill="1" applyBorder="1" applyAlignment="1">
      <alignment vertical="center"/>
    </xf>
    <xf numFmtId="0" fontId="2" fillId="8" borderId="14" xfId="0" applyFont="1" applyFill="1" applyBorder="1" applyAlignment="1">
      <alignment horizontal="center" vertical="center"/>
    </xf>
    <xf numFmtId="164" fontId="2" fillId="0" borderId="15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22" xfId="0" applyNumberFormat="1" applyFont="1" applyFill="1" applyBorder="1" applyAlignment="1">
      <alignment horizontal="center" vertical="center"/>
    </xf>
    <xf numFmtId="14" fontId="2" fillId="12" borderId="13" xfId="0" applyNumberFormat="1" applyFont="1" applyFill="1" applyBorder="1" applyAlignment="1">
      <alignment horizontal="center" vertical="center"/>
    </xf>
    <xf numFmtId="0" fontId="2" fillId="13" borderId="9" xfId="0" applyFont="1" applyFill="1" applyBorder="1" applyAlignment="1">
      <alignment horizontal="center" vertical="center"/>
    </xf>
    <xf numFmtId="164" fontId="2" fillId="0" borderId="27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vertical="center"/>
    </xf>
    <xf numFmtId="2" fontId="2" fillId="3" borderId="2" xfId="0" applyNumberFormat="1" applyFont="1" applyFill="1" applyBorder="1" applyAlignment="1">
      <alignment vertical="center"/>
    </xf>
    <xf numFmtId="2" fontId="2" fillId="3" borderId="19" xfId="0" applyNumberFormat="1" applyFont="1" applyFill="1" applyBorder="1" applyAlignment="1">
      <alignment vertical="center"/>
    </xf>
    <xf numFmtId="164" fontId="2" fillId="0" borderId="29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2" fontId="7" fillId="14" borderId="11" xfId="0" applyNumberFormat="1" applyFont="1" applyFill="1" applyBorder="1" applyAlignment="1">
      <alignment vertical="center"/>
    </xf>
    <xf numFmtId="2" fontId="7" fillId="14" borderId="2" xfId="0" applyNumberFormat="1" applyFont="1" applyFill="1" applyBorder="1" applyAlignment="1">
      <alignment vertical="center"/>
    </xf>
    <xf numFmtId="2" fontId="7" fillId="14" borderId="19" xfId="0" applyNumberFormat="1" applyFont="1" applyFill="1" applyBorder="1" applyAlignment="1">
      <alignment vertical="center"/>
    </xf>
    <xf numFmtId="164" fontId="2" fillId="0" borderId="34" xfId="0" applyNumberFormat="1" applyFont="1" applyFill="1" applyBorder="1" applyAlignment="1">
      <alignment horizontal="center" vertical="center"/>
    </xf>
    <xf numFmtId="2" fontId="2" fillId="15" borderId="11" xfId="0" applyNumberFormat="1" applyFont="1" applyFill="1" applyBorder="1" applyAlignment="1">
      <alignment vertical="center"/>
    </xf>
    <xf numFmtId="2" fontId="2" fillId="15" borderId="2" xfId="0" applyNumberFormat="1" applyFont="1" applyFill="1" applyBorder="1" applyAlignment="1">
      <alignment vertical="center"/>
    </xf>
    <xf numFmtId="2" fontId="2" fillId="15" borderId="19" xfId="0" applyNumberFormat="1" applyFont="1" applyFill="1" applyBorder="1" applyAlignment="1">
      <alignment vertical="center"/>
    </xf>
    <xf numFmtId="0" fontId="2" fillId="0" borderId="0" xfId="0" applyFont="1"/>
    <xf numFmtId="0" fontId="2" fillId="6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164" fontId="2" fillId="7" borderId="27" xfId="0" applyNumberFormat="1" applyFont="1" applyFill="1" applyBorder="1" applyAlignment="1">
      <alignment horizontal="center" vertical="center"/>
    </xf>
    <xf numFmtId="14" fontId="2" fillId="8" borderId="27" xfId="0" applyNumberFormat="1" applyFont="1" applyFill="1" applyBorder="1" applyAlignment="1">
      <alignment horizontal="center" vertical="center"/>
    </xf>
    <xf numFmtId="14" fontId="2" fillId="12" borderId="27" xfId="0" applyNumberFormat="1" applyFont="1" applyFill="1" applyBorder="1" applyAlignment="1">
      <alignment horizontal="center" vertical="center"/>
    </xf>
    <xf numFmtId="0" fontId="2" fillId="8" borderId="28" xfId="0" applyFont="1" applyFill="1" applyBorder="1" applyAlignment="1">
      <alignment horizontal="center" vertical="center"/>
    </xf>
    <xf numFmtId="2" fontId="2" fillId="16" borderId="11" xfId="0" applyNumberFormat="1" applyFont="1" applyFill="1" applyBorder="1" applyAlignment="1">
      <alignment horizontal="center" vertical="center"/>
    </xf>
    <xf numFmtId="2" fontId="2" fillId="16" borderId="2" xfId="0" applyNumberFormat="1" applyFont="1" applyFill="1" applyBorder="1" applyAlignment="1">
      <alignment horizontal="center" vertical="center"/>
    </xf>
    <xf numFmtId="2" fontId="2" fillId="16" borderId="2" xfId="0" applyNumberFormat="1" applyFont="1" applyFill="1" applyBorder="1" applyAlignment="1">
      <alignment vertical="center"/>
    </xf>
    <xf numFmtId="0" fontId="2" fillId="17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164" fontId="2" fillId="7" borderId="0" xfId="0" applyNumberFormat="1" applyFont="1" applyFill="1" applyBorder="1" applyAlignment="1">
      <alignment horizontal="center" vertical="center"/>
    </xf>
    <xf numFmtId="2" fontId="2" fillId="18" borderId="11" xfId="0" applyNumberFormat="1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2" fontId="2" fillId="18" borderId="19" xfId="0" applyNumberFormat="1" applyFont="1" applyFill="1" applyBorder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2" fontId="2" fillId="20" borderId="11" xfId="0" applyNumberFormat="1" applyFont="1" applyFill="1" applyBorder="1" applyAlignment="1">
      <alignment horizontal="center" vertical="center"/>
    </xf>
    <xf numFmtId="2" fontId="2" fillId="20" borderId="2" xfId="0" applyNumberFormat="1" applyFont="1" applyFill="1" applyBorder="1" applyAlignment="1">
      <alignment horizontal="center" vertical="center"/>
    </xf>
    <xf numFmtId="2" fontId="2" fillId="20" borderId="19" xfId="0" applyNumberFormat="1" applyFont="1" applyFill="1" applyBorder="1" applyAlignment="1">
      <alignment horizontal="center" vertical="center"/>
    </xf>
    <xf numFmtId="0" fontId="2" fillId="21" borderId="3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7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8" fillId="15" borderId="1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0" xfId="0" applyFont="1" applyFill="1" applyBorder="1" applyAlignment="1">
      <alignment horizontal="center" vertical="center"/>
    </xf>
    <xf numFmtId="0" fontId="2" fillId="22" borderId="24" xfId="0" applyFont="1" applyFill="1" applyBorder="1" applyAlignment="1">
      <alignment horizontal="center" vertical="center"/>
    </xf>
    <xf numFmtId="0" fontId="2" fillId="22" borderId="35" xfId="0" applyFont="1" applyFill="1" applyBorder="1" applyAlignment="1">
      <alignment horizontal="center" vertical="center"/>
    </xf>
    <xf numFmtId="0" fontId="2" fillId="22" borderId="10" xfId="0" applyFont="1" applyFill="1" applyBorder="1" applyAlignment="1">
      <alignment horizontal="center" vertical="center"/>
    </xf>
    <xf numFmtId="0" fontId="2" fillId="23" borderId="0" xfId="0" applyFont="1" applyFill="1" applyAlignment="1">
      <alignment horizontal="center" vertical="center" textRotation="90"/>
    </xf>
    <xf numFmtId="0" fontId="2" fillId="23" borderId="0" xfId="0" applyFont="1" applyFill="1" applyAlignment="1">
      <alignment horizontal="center" vertical="center"/>
    </xf>
    <xf numFmtId="164" fontId="2" fillId="23" borderId="8" xfId="0" applyNumberFormat="1" applyFont="1" applyFill="1" applyBorder="1" applyAlignment="1">
      <alignment horizontal="center" vertical="center"/>
    </xf>
    <xf numFmtId="164" fontId="2" fillId="23" borderId="7" xfId="0" applyNumberFormat="1" applyFont="1" applyFill="1" applyBorder="1" applyAlignment="1">
      <alignment horizontal="center" vertical="center"/>
    </xf>
    <xf numFmtId="164" fontId="2" fillId="23" borderId="0" xfId="0" applyNumberFormat="1" applyFont="1" applyFill="1" applyBorder="1" applyAlignment="1">
      <alignment horizontal="center" vertical="center"/>
    </xf>
    <xf numFmtId="164" fontId="2" fillId="23" borderId="3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2" fontId="2" fillId="9" borderId="32" xfId="0" applyNumberFormat="1" applyFont="1" applyFill="1" applyBorder="1" applyAlignment="1">
      <alignment horizontal="center" vertical="center"/>
    </xf>
    <xf numFmtId="2" fontId="2" fillId="4" borderId="31" xfId="0" applyNumberFormat="1" applyFont="1" applyFill="1" applyBorder="1" applyAlignment="1">
      <alignment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23" borderId="2" xfId="0" applyNumberFormat="1" applyFont="1" applyFill="1" applyBorder="1" applyAlignment="1">
      <alignment horizontal="center" vertical="center"/>
    </xf>
    <xf numFmtId="164" fontId="2" fillId="23" borderId="33" xfId="0" applyNumberFormat="1" applyFont="1" applyFill="1" applyBorder="1" applyAlignment="1">
      <alignment horizontal="center" vertical="center"/>
    </xf>
    <xf numFmtId="164" fontId="2" fillId="23" borderId="25" xfId="0" applyNumberFormat="1" applyFont="1" applyFill="1" applyBorder="1" applyAlignment="1">
      <alignment horizontal="center" vertical="center"/>
    </xf>
    <xf numFmtId="164" fontId="2" fillId="23" borderId="47" xfId="0" applyNumberFormat="1" applyFont="1" applyFill="1" applyBorder="1" applyAlignment="1">
      <alignment horizontal="center" vertical="center"/>
    </xf>
    <xf numFmtId="164" fontId="2" fillId="23" borderId="16" xfId="0" applyNumberFormat="1" applyFont="1" applyFill="1" applyBorder="1" applyAlignment="1">
      <alignment horizontal="center" vertical="center"/>
    </xf>
    <xf numFmtId="164" fontId="2" fillId="23" borderId="20" xfId="0" applyNumberFormat="1" applyFont="1" applyFill="1" applyBorder="1" applyAlignment="1">
      <alignment horizontal="center" vertical="center"/>
    </xf>
    <xf numFmtId="164" fontId="2" fillId="23" borderId="29" xfId="0" applyNumberFormat="1" applyFont="1" applyFill="1" applyBorder="1" applyAlignment="1">
      <alignment horizontal="center" vertical="center"/>
    </xf>
    <xf numFmtId="2" fontId="2" fillId="23" borderId="19" xfId="0" applyNumberFormat="1" applyFont="1" applyFill="1" applyBorder="1" applyAlignment="1">
      <alignment vertical="center"/>
    </xf>
    <xf numFmtId="0" fontId="2" fillId="22" borderId="23" xfId="0" applyFont="1" applyFill="1" applyBorder="1" applyAlignment="1">
      <alignment horizontal="center" vertical="center"/>
    </xf>
    <xf numFmtId="164" fontId="2" fillId="24" borderId="18" xfId="0" applyNumberFormat="1" applyFont="1" applyFill="1" applyBorder="1" applyAlignment="1">
      <alignment horizontal="center" vertical="center"/>
    </xf>
    <xf numFmtId="164" fontId="2" fillId="14" borderId="18" xfId="0" applyNumberFormat="1" applyFont="1" applyFill="1" applyBorder="1" applyAlignment="1">
      <alignment horizontal="center" vertical="center"/>
    </xf>
    <xf numFmtId="164" fontId="2" fillId="15" borderId="18" xfId="0" applyNumberFormat="1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2" fillId="19" borderId="18" xfId="0" applyFont="1" applyFill="1" applyBorder="1" applyAlignment="1">
      <alignment horizontal="center" vertical="center"/>
    </xf>
    <xf numFmtId="164" fontId="2" fillId="7" borderId="6" xfId="0" applyNumberFormat="1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7" fillId="7" borderId="38" xfId="0" applyNumberFormat="1" applyFont="1" applyFill="1" applyBorder="1" applyAlignment="1">
      <alignment horizontal="center" vertical="center"/>
    </xf>
    <xf numFmtId="164" fontId="7" fillId="7" borderId="3" xfId="0" applyNumberFormat="1" applyFont="1" applyFill="1" applyBorder="1" applyAlignment="1">
      <alignment horizontal="center" vertical="center"/>
    </xf>
    <xf numFmtId="0" fontId="10" fillId="25" borderId="0" xfId="0" applyFont="1" applyFill="1"/>
    <xf numFmtId="0" fontId="2" fillId="4" borderId="12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Border="1" applyAlignment="1">
      <alignment vertical="top"/>
    </xf>
    <xf numFmtId="0" fontId="0" fillId="0" borderId="0" xfId="0" applyFont="1"/>
    <xf numFmtId="0" fontId="0" fillId="0" borderId="0" xfId="0" applyFont="1" applyAlignment="1">
      <alignment vertical="top"/>
    </xf>
    <xf numFmtId="0" fontId="0" fillId="0" borderId="0" xfId="0" applyFont="1" applyBorder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top" wrapText="1"/>
    </xf>
    <xf numFmtId="0" fontId="10" fillId="25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8" fillId="16" borderId="11" xfId="0" applyFont="1" applyFill="1" applyBorder="1" applyAlignment="1">
      <alignment horizontal="center" vertical="top"/>
    </xf>
    <xf numFmtId="0" fontId="8" fillId="18" borderId="11" xfId="0" applyFont="1" applyFill="1" applyBorder="1" applyAlignment="1">
      <alignment horizontal="center" vertical="top"/>
    </xf>
    <xf numFmtId="0" fontId="8" fillId="20" borderId="11" xfId="0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2" fontId="2" fillId="20" borderId="2" xfId="0" applyNumberFormat="1" applyFont="1" applyFill="1" applyBorder="1" applyAlignment="1">
      <alignment horizontal="center" vertical="center"/>
    </xf>
    <xf numFmtId="164" fontId="2" fillId="13" borderId="18" xfId="0" applyNumberFormat="1" applyFont="1" applyFill="1" applyBorder="1" applyAlignment="1">
      <alignment horizontal="center" vertical="center"/>
    </xf>
    <xf numFmtId="164" fontId="2" fillId="11" borderId="13" xfId="0" applyNumberFormat="1" applyFont="1" applyFill="1" applyBorder="1" applyAlignment="1">
      <alignment horizontal="center" vertical="center"/>
    </xf>
    <xf numFmtId="164" fontId="2" fillId="13" borderId="7" xfId="0" applyNumberFormat="1" applyFont="1" applyFill="1" applyBorder="1" applyAlignment="1">
      <alignment horizontal="center" vertical="center"/>
    </xf>
    <xf numFmtId="164" fontId="2" fillId="13" borderId="27" xfId="0" applyNumberFormat="1" applyFont="1" applyFill="1" applyBorder="1" applyAlignment="1">
      <alignment horizontal="center" vertical="center"/>
    </xf>
    <xf numFmtId="164" fontId="2" fillId="13" borderId="13" xfId="0" applyNumberFormat="1" applyFont="1" applyFill="1" applyBorder="1" applyAlignment="1">
      <alignment horizontal="center" vertical="center"/>
    </xf>
    <xf numFmtId="2" fontId="2" fillId="18" borderId="11" xfId="0" applyNumberFormat="1" applyFont="1" applyFill="1" applyBorder="1" applyAlignment="1">
      <alignment horizontal="center" vertical="center"/>
    </xf>
    <xf numFmtId="2" fontId="2" fillId="18" borderId="2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8" fillId="14" borderId="2" xfId="0" applyFont="1" applyFill="1" applyBorder="1" applyAlignment="1">
      <alignment horizontal="left" vertical="center"/>
    </xf>
    <xf numFmtId="0" fontId="8" fillId="14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 wrapText="1"/>
    </xf>
    <xf numFmtId="0" fontId="0" fillId="0" borderId="23" xfId="0" applyBorder="1"/>
    <xf numFmtId="2" fontId="2" fillId="14" borderId="11" xfId="0" applyNumberFormat="1" applyFont="1" applyFill="1" applyBorder="1" applyAlignment="1">
      <alignment horizontal="center" vertical="center"/>
    </xf>
    <xf numFmtId="2" fontId="2" fillId="14" borderId="2" xfId="0" applyNumberFormat="1" applyFont="1" applyFill="1" applyBorder="1" applyAlignment="1">
      <alignment horizontal="center" vertical="center"/>
    </xf>
    <xf numFmtId="0" fontId="8" fillId="15" borderId="2" xfId="0" applyFont="1" applyFill="1" applyBorder="1" applyAlignment="1">
      <alignment horizontal="left" vertical="center"/>
    </xf>
    <xf numFmtId="0" fontId="8" fillId="15" borderId="19" xfId="0" applyFont="1" applyFill="1" applyBorder="1" applyAlignment="1">
      <alignment horizontal="left" vertical="center"/>
    </xf>
    <xf numFmtId="2" fontId="2" fillId="15" borderId="11" xfId="0" applyNumberFormat="1" applyFont="1" applyFill="1" applyBorder="1" applyAlignment="1">
      <alignment horizontal="center" vertical="center"/>
    </xf>
    <xf numFmtId="2" fontId="2" fillId="15" borderId="2" xfId="0" applyNumberFormat="1" applyFont="1" applyFill="1" applyBorder="1" applyAlignment="1">
      <alignment horizontal="center" vertical="center"/>
    </xf>
    <xf numFmtId="2" fontId="2" fillId="20" borderId="11" xfId="0" applyNumberFormat="1" applyFont="1" applyFill="1" applyBorder="1" applyAlignment="1">
      <alignment horizontal="center" vertical="center"/>
    </xf>
    <xf numFmtId="2" fontId="2" fillId="20" borderId="2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14" fontId="2" fillId="0" borderId="9" xfId="0" applyNumberFormat="1" applyFont="1" applyBorder="1" applyAlignment="1">
      <alignment horizontal="center" vertical="center" textRotation="90"/>
    </xf>
    <xf numFmtId="2" fontId="2" fillId="9" borderId="11" xfId="0" applyNumberFormat="1" applyFont="1" applyFill="1" applyBorder="1" applyAlignment="1">
      <alignment horizontal="center" vertical="center"/>
    </xf>
    <xf numFmtId="2" fontId="2" fillId="9" borderId="2" xfId="0" applyNumberFormat="1" applyFont="1" applyFill="1" applyBorder="1" applyAlignment="1">
      <alignment horizontal="center" vertical="center"/>
    </xf>
    <xf numFmtId="2" fontId="2" fillId="4" borderId="11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horizontal="center" vertical="center"/>
    </xf>
    <xf numFmtId="2" fontId="2" fillId="3" borderId="2" xfId="0" applyNumberFormat="1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left" vertical="center"/>
    </xf>
    <xf numFmtId="0" fontId="8" fillId="9" borderId="19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 vertical="center"/>
    </xf>
    <xf numFmtId="0" fontId="8" fillId="4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  <xf numFmtId="0" fontId="8" fillId="3" borderId="2" xfId="0" applyFont="1" applyFill="1" applyBorder="1" applyAlignment="1">
      <alignment horizontal="left" vertical="center"/>
    </xf>
    <xf numFmtId="0" fontId="8" fillId="3" borderId="19" xfId="0" applyFont="1" applyFill="1" applyBorder="1" applyAlignment="1">
      <alignment horizontal="left" vertical="center"/>
    </xf>
    <xf numFmtId="0" fontId="2" fillId="0" borderId="39" xfId="0" applyFont="1" applyBorder="1" applyAlignment="1">
      <alignment horizontal="left" vertical="center"/>
    </xf>
    <xf numFmtId="0" fontId="2" fillId="0" borderId="40" xfId="0" applyFont="1" applyBorder="1" applyAlignment="1">
      <alignment horizontal="left" vertical="center"/>
    </xf>
    <xf numFmtId="0" fontId="2" fillId="0" borderId="41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6" xfId="0" applyFont="1" applyBorder="1" applyAlignment="1">
      <alignment horizontal="center" vertical="center" textRotation="90"/>
    </xf>
    <xf numFmtId="0" fontId="2" fillId="0" borderId="43" xfId="0" applyFont="1" applyBorder="1" applyAlignment="1">
      <alignment horizontal="center" vertical="center" textRotation="90"/>
    </xf>
    <xf numFmtId="0" fontId="7" fillId="0" borderId="44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8" fillId="20" borderId="2" xfId="0" applyFont="1" applyFill="1" applyBorder="1" applyAlignment="1">
      <alignment horizontal="left" vertical="center"/>
    </xf>
    <xf numFmtId="0" fontId="8" fillId="20" borderId="19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right" vertical="center"/>
    </xf>
    <xf numFmtId="0" fontId="8" fillId="7" borderId="2" xfId="0" applyFont="1" applyFill="1" applyBorder="1" applyAlignment="1">
      <alignment horizontal="right" vertical="center"/>
    </xf>
    <xf numFmtId="0" fontId="8" fillId="7" borderId="19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8" fillId="16" borderId="2" xfId="0" applyFont="1" applyFill="1" applyBorder="1" applyAlignment="1">
      <alignment horizontal="left" vertical="center"/>
    </xf>
    <xf numFmtId="0" fontId="8" fillId="16" borderId="19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8" fillId="18" borderId="2" xfId="0" applyFont="1" applyFill="1" applyBorder="1" applyAlignment="1">
      <alignment horizontal="left" vertical="center"/>
    </xf>
    <xf numFmtId="0" fontId="8" fillId="18" borderId="19" xfId="0" applyFont="1" applyFill="1" applyBorder="1" applyAlignment="1">
      <alignment horizontal="left" vertic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4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</cellXfs>
  <cellStyles count="2">
    <cellStyle name="Standard" xfId="0" builtinId="0"/>
    <cellStyle name="Standard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AJ50"/>
  <sheetViews>
    <sheetView showGridLines="0" tabSelected="1" topLeftCell="A4" zoomScaleNormal="100" workbookViewId="0">
      <selection activeCell="I34" sqref="I34"/>
    </sheetView>
  </sheetViews>
  <sheetFormatPr baseColWidth="10" defaultColWidth="11.42578125" defaultRowHeight="11.25"/>
  <cols>
    <col min="1" max="1" width="0.85546875" style="1" customWidth="1"/>
    <col min="2" max="2" width="4.5703125" style="1" customWidth="1"/>
    <col min="3" max="3" width="26.28515625" style="1" bestFit="1" customWidth="1"/>
    <col min="4" max="4" width="40.85546875" style="1" customWidth="1"/>
    <col min="5" max="5" width="0.85546875" style="1" customWidth="1"/>
    <col min="6" max="6" width="5.85546875" style="1" bestFit="1" customWidth="1"/>
    <col min="7" max="7" width="5" style="1" customWidth="1"/>
    <col min="8" max="8" width="5.28515625" style="3" customWidth="1"/>
    <col min="9" max="9" width="4.85546875" style="3" customWidth="1"/>
    <col min="10" max="10" width="4.5703125" style="1" customWidth="1"/>
    <col min="11" max="11" width="8.85546875" style="1" customWidth="1"/>
    <col min="12" max="12" width="5.85546875" style="1" customWidth="1"/>
    <col min="13" max="13" width="0.85546875" style="1" customWidth="1"/>
    <col min="14" max="19" width="4.28515625" style="1" customWidth="1"/>
    <col min="20" max="21" width="2.7109375" style="1" customWidth="1"/>
    <col min="22" max="35" width="4.28515625" style="1" customWidth="1"/>
    <col min="36" max="36" width="0.85546875" style="1" customWidth="1"/>
    <col min="37" max="65" width="11.42578125" style="1"/>
    <col min="66" max="73" width="11.42578125" style="1" customWidth="1"/>
    <col min="74" max="16384" width="11.42578125" style="1"/>
  </cols>
  <sheetData>
    <row r="2" spans="1:36" ht="23.25">
      <c r="C2" s="2" t="s">
        <v>0</v>
      </c>
    </row>
    <row r="3" spans="1:36" ht="20.25">
      <c r="C3" s="4"/>
    </row>
    <row r="4" spans="1:36">
      <c r="A4" s="92"/>
      <c r="B4" s="5"/>
      <c r="C4" s="6" t="s">
        <v>35</v>
      </c>
      <c r="D4" s="7"/>
      <c r="E4" s="92"/>
      <c r="F4" s="188" t="s">
        <v>1</v>
      </c>
      <c r="G4" s="189"/>
      <c r="H4" s="190" t="s">
        <v>2</v>
      </c>
      <c r="I4" s="191"/>
      <c r="J4" s="191"/>
      <c r="K4" s="185" t="s">
        <v>3</v>
      </c>
      <c r="L4" s="186"/>
      <c r="M4" s="92"/>
      <c r="N4" s="187" t="s">
        <v>4</v>
      </c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5"/>
      <c r="AI4" s="5"/>
      <c r="AJ4" s="92"/>
    </row>
    <row r="5" spans="1:36" ht="63.75">
      <c r="A5" s="93"/>
      <c r="B5" s="206" t="s">
        <v>58</v>
      </c>
      <c r="C5" s="208" t="s">
        <v>5</v>
      </c>
      <c r="D5" s="209"/>
      <c r="E5" s="93"/>
      <c r="F5" s="8" t="s">
        <v>6</v>
      </c>
      <c r="G5" s="9" t="s">
        <v>7</v>
      </c>
      <c r="H5" s="10" t="s">
        <v>8</v>
      </c>
      <c r="I5" s="10" t="s">
        <v>9</v>
      </c>
      <c r="J5" s="11" t="s">
        <v>56</v>
      </c>
      <c r="K5" s="12" t="s">
        <v>10</v>
      </c>
      <c r="L5" s="13" t="s">
        <v>3</v>
      </c>
      <c r="M5" s="93"/>
      <c r="N5" s="180">
        <v>42450</v>
      </c>
      <c r="O5" s="180"/>
      <c r="P5" s="180" t="s">
        <v>54</v>
      </c>
      <c r="Q5" s="180"/>
      <c r="R5" s="180">
        <v>42453</v>
      </c>
      <c r="S5" s="180"/>
      <c r="T5" s="98" t="s">
        <v>11</v>
      </c>
      <c r="U5" s="98" t="s">
        <v>12</v>
      </c>
      <c r="V5" s="180">
        <v>42458</v>
      </c>
      <c r="W5" s="180"/>
      <c r="X5" s="180">
        <v>42460</v>
      </c>
      <c r="Y5" s="180"/>
      <c r="Z5" s="180">
        <v>42461</v>
      </c>
      <c r="AA5" s="180"/>
      <c r="AB5" s="180">
        <v>42464</v>
      </c>
      <c r="AC5" s="180"/>
      <c r="AD5" s="180">
        <v>42465</v>
      </c>
      <c r="AE5" s="180"/>
      <c r="AF5" s="180">
        <v>42467</v>
      </c>
      <c r="AG5" s="180"/>
      <c r="AH5" s="180">
        <v>42468</v>
      </c>
      <c r="AI5" s="180"/>
      <c r="AJ5" s="93"/>
    </row>
    <row r="6" spans="1:36">
      <c r="A6" s="93"/>
      <c r="B6" s="207"/>
      <c r="C6" s="210"/>
      <c r="D6" s="211"/>
      <c r="E6" s="93"/>
      <c r="F6" s="14"/>
      <c r="G6" s="14"/>
      <c r="H6" s="15"/>
      <c r="I6" s="15"/>
      <c r="J6" s="16"/>
      <c r="K6" s="17"/>
      <c r="L6" s="18"/>
      <c r="M6" s="93"/>
      <c r="N6" s="19" t="s">
        <v>13</v>
      </c>
      <c r="O6" s="19" t="s">
        <v>14</v>
      </c>
      <c r="P6" s="19" t="s">
        <v>13</v>
      </c>
      <c r="Q6" s="19" t="s">
        <v>14</v>
      </c>
      <c r="R6" s="19" t="s">
        <v>13</v>
      </c>
      <c r="S6" s="19" t="s">
        <v>14</v>
      </c>
      <c r="T6" s="99"/>
      <c r="U6" s="99"/>
      <c r="V6" s="19" t="s">
        <v>13</v>
      </c>
      <c r="W6" s="19" t="s">
        <v>14</v>
      </c>
      <c r="X6" s="19" t="s">
        <v>13</v>
      </c>
      <c r="Y6" s="19" t="s">
        <v>14</v>
      </c>
      <c r="Z6" s="19" t="s">
        <v>13</v>
      </c>
      <c r="AA6" s="19" t="s">
        <v>14</v>
      </c>
      <c r="AB6" s="19" t="s">
        <v>13</v>
      </c>
      <c r="AC6" s="19" t="s">
        <v>14</v>
      </c>
      <c r="AD6" s="19" t="s">
        <v>13</v>
      </c>
      <c r="AE6" s="19" t="s">
        <v>14</v>
      </c>
      <c r="AF6" s="19" t="s">
        <v>13</v>
      </c>
      <c r="AG6" s="19" t="s">
        <v>14</v>
      </c>
      <c r="AH6" s="19" t="s">
        <v>13</v>
      </c>
      <c r="AI6" s="19" t="s">
        <v>14</v>
      </c>
      <c r="AJ6" s="93"/>
    </row>
    <row r="7" spans="1:36" ht="12" customHeight="1">
      <c r="A7" s="94">
        <v>1</v>
      </c>
      <c r="B7" s="87">
        <v>1</v>
      </c>
      <c r="C7" s="194" t="s">
        <v>15</v>
      </c>
      <c r="D7" s="195"/>
      <c r="E7" s="93"/>
      <c r="F7" s="181"/>
      <c r="G7" s="182"/>
      <c r="H7" s="182"/>
      <c r="I7" s="182"/>
      <c r="J7" s="182"/>
      <c r="K7" s="182"/>
      <c r="L7" s="182"/>
      <c r="M7" s="93"/>
      <c r="N7" s="20"/>
      <c r="O7" s="20"/>
      <c r="P7" s="20"/>
      <c r="Q7" s="20"/>
      <c r="R7" s="20"/>
      <c r="S7" s="20"/>
      <c r="T7" s="105"/>
      <c r="U7" s="105"/>
      <c r="V7" s="21"/>
      <c r="W7" s="22"/>
      <c r="X7" s="21"/>
      <c r="Y7" s="21"/>
      <c r="Z7" s="21"/>
      <c r="AA7" s="21"/>
      <c r="AB7" s="21"/>
      <c r="AC7" s="22"/>
      <c r="AD7" s="22"/>
      <c r="AE7" s="20"/>
      <c r="AF7" s="20"/>
      <c r="AG7" s="20"/>
      <c r="AH7" s="20"/>
      <c r="AI7" s="20"/>
      <c r="AJ7" s="93"/>
    </row>
    <row r="8" spans="1:36" ht="12" customHeight="1">
      <c r="A8" s="93"/>
      <c r="B8" s="90">
        <v>1.1000000000000001</v>
      </c>
      <c r="C8" s="174" t="s">
        <v>36</v>
      </c>
      <c r="D8" s="175"/>
      <c r="E8" s="93"/>
      <c r="F8" s="23"/>
      <c r="G8" s="24"/>
      <c r="H8" s="25">
        <v>0.5</v>
      </c>
      <c r="I8" s="26">
        <f>SUM(O8,Q8,S8,W8,Y8,AA8,AC8,AE8,AG8,AI8)</f>
        <v>0.5</v>
      </c>
      <c r="J8" s="26">
        <f>H8-I8</f>
        <v>0</v>
      </c>
      <c r="K8" s="27"/>
      <c r="L8" s="28" t="s">
        <v>102</v>
      </c>
      <c r="M8" s="93"/>
      <c r="N8" s="29">
        <v>0.5</v>
      </c>
      <c r="O8" s="149">
        <v>0.5</v>
      </c>
      <c r="P8" s="31"/>
      <c r="Q8" s="31"/>
      <c r="R8" s="31"/>
      <c r="S8" s="104"/>
      <c r="T8" s="108"/>
      <c r="U8" s="108"/>
      <c r="V8" s="107"/>
      <c r="W8" s="31"/>
      <c r="X8" s="32"/>
      <c r="Y8" s="32"/>
      <c r="Z8" s="32"/>
      <c r="AA8" s="32"/>
      <c r="AB8" s="33"/>
      <c r="AC8" s="33"/>
      <c r="AD8" s="33"/>
      <c r="AE8" s="31"/>
      <c r="AF8" s="31"/>
      <c r="AG8" s="31"/>
      <c r="AH8" s="31"/>
      <c r="AI8" s="31"/>
      <c r="AJ8" s="93"/>
    </row>
    <row r="9" spans="1:36" ht="12" customHeight="1">
      <c r="A9" s="93">
        <v>2</v>
      </c>
      <c r="B9" s="120">
        <v>2</v>
      </c>
      <c r="C9" s="196" t="s">
        <v>16</v>
      </c>
      <c r="D9" s="197"/>
      <c r="E9" s="93"/>
      <c r="F9" s="183"/>
      <c r="G9" s="184"/>
      <c r="H9" s="184"/>
      <c r="I9" s="184"/>
      <c r="J9" s="184"/>
      <c r="K9" s="184"/>
      <c r="L9" s="184"/>
      <c r="M9" s="93"/>
      <c r="N9" s="34"/>
      <c r="O9" s="35"/>
      <c r="P9" s="35"/>
      <c r="Q9" s="35"/>
      <c r="R9" s="35"/>
      <c r="S9" s="35"/>
      <c r="T9" s="106"/>
      <c r="U9" s="106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6"/>
      <c r="AJ9" s="93"/>
    </row>
    <row r="10" spans="1:36" ht="12" customHeight="1">
      <c r="A10" s="92"/>
      <c r="B10" s="129">
        <v>2.1</v>
      </c>
      <c r="C10" s="198" t="s">
        <v>37</v>
      </c>
      <c r="D10" s="199"/>
      <c r="E10" s="93"/>
      <c r="F10" s="23">
        <v>1.1000000000000001</v>
      </c>
      <c r="G10" s="24">
        <v>2.2000000000000002</v>
      </c>
      <c r="H10" s="25">
        <v>2</v>
      </c>
      <c r="I10" s="26">
        <f>SUM(O10,Q10,S10,V10,V10,W10,Y10,AA10,AC10,AE10,AG10,AI10)</f>
        <v>2</v>
      </c>
      <c r="J10" s="26">
        <f>H10-I10</f>
        <v>0</v>
      </c>
      <c r="K10" s="27"/>
      <c r="L10" s="37" t="s">
        <v>102</v>
      </c>
      <c r="M10" s="93"/>
      <c r="N10" s="29">
        <v>2</v>
      </c>
      <c r="O10" s="149">
        <v>2</v>
      </c>
      <c r="P10" s="31"/>
      <c r="Q10" s="31"/>
      <c r="R10" s="31"/>
      <c r="S10" s="38"/>
      <c r="T10" s="101"/>
      <c r="U10" s="109"/>
      <c r="V10" s="39"/>
      <c r="W10" s="39"/>
      <c r="X10" s="33"/>
      <c r="Y10" s="33"/>
      <c r="Z10" s="33"/>
      <c r="AA10" s="33"/>
      <c r="AB10" s="39"/>
      <c r="AC10" s="39"/>
      <c r="AD10" s="39"/>
      <c r="AE10" s="39"/>
      <c r="AF10" s="39"/>
      <c r="AG10" s="40"/>
      <c r="AH10" s="31"/>
      <c r="AI10" s="41"/>
      <c r="AJ10" s="93"/>
    </row>
    <row r="11" spans="1:36" ht="12" customHeight="1">
      <c r="A11" s="93"/>
      <c r="B11" s="129">
        <v>2.2000000000000002</v>
      </c>
      <c r="C11" s="156" t="s">
        <v>38</v>
      </c>
      <c r="D11" s="157"/>
      <c r="E11" s="93"/>
      <c r="F11" s="23">
        <v>2.1</v>
      </c>
      <c r="G11" s="24"/>
      <c r="H11" s="25">
        <v>2</v>
      </c>
      <c r="I11" s="26">
        <f>SUM(O11,Q11,S11,V11,V11,W11,Y11,AA11,AC11,AE11,AG11,AI11)</f>
        <v>2</v>
      </c>
      <c r="J11" s="26">
        <f t="shared" ref="J11:J14" si="0">H11-I11</f>
        <v>0</v>
      </c>
      <c r="K11" s="42">
        <v>42450</v>
      </c>
      <c r="L11" s="37" t="s">
        <v>102</v>
      </c>
      <c r="M11" s="93"/>
      <c r="N11" s="29">
        <v>2</v>
      </c>
      <c r="O11" s="149">
        <v>2</v>
      </c>
      <c r="P11" s="31"/>
      <c r="Q11" s="31"/>
      <c r="R11" s="31"/>
      <c r="S11" s="31"/>
      <c r="T11" s="101"/>
      <c r="U11" s="100"/>
      <c r="V11" s="31"/>
      <c r="W11" s="31"/>
      <c r="X11" s="32"/>
      <c r="Y11" s="32"/>
      <c r="Z11" s="32"/>
      <c r="AA11" s="32"/>
      <c r="AB11" s="32"/>
      <c r="AC11" s="31"/>
      <c r="AD11" s="31"/>
      <c r="AE11" s="31"/>
      <c r="AF11" s="31"/>
      <c r="AG11" s="31"/>
      <c r="AH11" s="31"/>
      <c r="AI11" s="41"/>
      <c r="AJ11" s="93"/>
    </row>
    <row r="12" spans="1:36" ht="12" customHeight="1">
      <c r="A12" s="93"/>
      <c r="B12" s="129">
        <v>2.2999999999999998</v>
      </c>
      <c r="C12" s="156" t="s">
        <v>17</v>
      </c>
      <c r="D12" s="157"/>
      <c r="E12" s="93"/>
      <c r="F12" s="23"/>
      <c r="G12" s="24"/>
      <c r="H12" s="25">
        <v>1</v>
      </c>
      <c r="I12" s="26">
        <f>SUM(O12,Q12,S12,V12,V12,W12,Y12,AA12,AC12,AE12,AG12,AI12)</f>
        <v>1</v>
      </c>
      <c r="J12" s="26">
        <f t="shared" si="0"/>
        <v>0</v>
      </c>
      <c r="K12" s="27"/>
      <c r="L12" s="37" t="s">
        <v>102</v>
      </c>
      <c r="M12" s="93"/>
      <c r="N12" s="29">
        <v>1</v>
      </c>
      <c r="O12" s="149">
        <v>1</v>
      </c>
      <c r="P12" s="31"/>
      <c r="Q12" s="31"/>
      <c r="R12" s="31"/>
      <c r="S12" s="31"/>
      <c r="T12" s="101"/>
      <c r="U12" s="100"/>
      <c r="V12" s="32"/>
      <c r="W12" s="32"/>
      <c r="X12" s="30"/>
      <c r="Y12" s="30"/>
      <c r="Z12" s="30"/>
      <c r="AA12" s="30"/>
      <c r="AB12" s="32"/>
      <c r="AC12" s="32"/>
      <c r="AD12" s="32"/>
      <c r="AE12" s="32"/>
      <c r="AF12" s="31"/>
      <c r="AG12" s="38"/>
      <c r="AH12" s="31"/>
      <c r="AI12" s="41"/>
      <c r="AJ12" s="93"/>
    </row>
    <row r="13" spans="1:36" ht="12" customHeight="1">
      <c r="A13" s="93"/>
      <c r="B13" s="129">
        <v>2.4</v>
      </c>
      <c r="C13" s="146" t="s">
        <v>103</v>
      </c>
      <c r="D13" s="147"/>
      <c r="E13" s="93"/>
      <c r="F13" s="23"/>
      <c r="G13" s="24"/>
      <c r="H13" s="25">
        <v>1</v>
      </c>
      <c r="I13" s="26">
        <v>1</v>
      </c>
      <c r="J13" s="26">
        <f t="shared" si="0"/>
        <v>0</v>
      </c>
      <c r="K13" s="27"/>
      <c r="L13" s="37" t="s">
        <v>102</v>
      </c>
      <c r="M13" s="93"/>
      <c r="N13" s="31"/>
      <c r="O13" s="30"/>
      <c r="Q13" s="31"/>
      <c r="R13" s="150">
        <v>1</v>
      </c>
      <c r="S13" s="149">
        <v>1</v>
      </c>
      <c r="T13" s="101"/>
      <c r="U13" s="100"/>
      <c r="V13" s="39"/>
      <c r="W13" s="32"/>
      <c r="X13" s="30"/>
      <c r="Y13" s="30"/>
      <c r="Z13" s="30"/>
      <c r="AA13" s="30"/>
      <c r="AB13" s="39"/>
      <c r="AC13" s="39"/>
      <c r="AD13" s="32"/>
      <c r="AE13" s="32"/>
      <c r="AF13" s="32"/>
      <c r="AG13" s="32"/>
      <c r="AH13" s="32"/>
      <c r="AI13" s="31"/>
      <c r="AJ13" s="93"/>
    </row>
    <row r="14" spans="1:36" ht="12" customHeight="1">
      <c r="A14" s="95"/>
      <c r="B14" s="129">
        <v>2.5</v>
      </c>
      <c r="C14" s="158" t="s">
        <v>18</v>
      </c>
      <c r="D14" s="159"/>
      <c r="E14" s="93"/>
      <c r="F14" s="23"/>
      <c r="G14" s="24"/>
      <c r="H14" s="25">
        <v>0</v>
      </c>
      <c r="I14" s="26">
        <f>SUM(O14,Q14,S14,V14,V14,W14,Y14,AA14,AC14,AE14,AG14,AI14)</f>
        <v>0</v>
      </c>
      <c r="J14" s="26">
        <f t="shared" si="0"/>
        <v>0</v>
      </c>
      <c r="K14" s="27"/>
      <c r="L14" s="37" t="s">
        <v>104</v>
      </c>
      <c r="M14" s="93"/>
      <c r="N14" s="29">
        <v>0</v>
      </c>
      <c r="O14" s="149">
        <v>0</v>
      </c>
      <c r="P14" s="31"/>
      <c r="Q14" s="30"/>
      <c r="R14" s="44"/>
      <c r="S14" s="44"/>
      <c r="T14" s="110"/>
      <c r="U14" s="111"/>
      <c r="V14" s="44"/>
      <c r="W14" s="44"/>
      <c r="X14" s="30"/>
      <c r="Y14" s="30"/>
      <c r="Z14" s="30"/>
      <c r="AA14" s="30"/>
      <c r="AB14" s="30"/>
      <c r="AC14" s="44"/>
      <c r="AD14" s="44"/>
      <c r="AE14" s="44"/>
      <c r="AF14" s="40"/>
      <c r="AG14" s="40"/>
      <c r="AH14" s="31"/>
      <c r="AI14" s="45"/>
      <c r="AJ14" s="93"/>
    </row>
    <row r="15" spans="1:36" ht="12" customHeight="1">
      <c r="A15" s="93">
        <v>3</v>
      </c>
      <c r="B15" s="88">
        <v>3</v>
      </c>
      <c r="C15" s="200" t="s">
        <v>19</v>
      </c>
      <c r="D15" s="201"/>
      <c r="E15" s="93"/>
      <c r="F15" s="192"/>
      <c r="G15" s="193"/>
      <c r="H15" s="193"/>
      <c r="I15" s="193"/>
      <c r="J15" s="193"/>
      <c r="K15" s="193"/>
      <c r="L15" s="193"/>
      <c r="M15" s="93"/>
      <c r="N15" s="46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8"/>
      <c r="AJ15" s="93"/>
    </row>
    <row r="16" spans="1:36" ht="12" customHeight="1">
      <c r="A16" s="92"/>
      <c r="B16" s="130">
        <v>3.1</v>
      </c>
      <c r="C16" s="227" t="s">
        <v>20</v>
      </c>
      <c r="D16" s="228"/>
      <c r="E16" s="93"/>
      <c r="F16" s="23"/>
      <c r="G16" s="24"/>
      <c r="H16" s="25">
        <v>4</v>
      </c>
      <c r="I16" s="26">
        <f>SUM(O16,Q16,S16,W16,Y16,AA16,AC16,AE16,AG16,AI16)</f>
        <v>2</v>
      </c>
      <c r="J16" s="26">
        <f>H16-I16</f>
        <v>2</v>
      </c>
      <c r="K16" s="27"/>
      <c r="L16" s="37" t="s">
        <v>102</v>
      </c>
      <c r="M16" s="93"/>
      <c r="N16" s="33"/>
      <c r="O16" s="33"/>
      <c r="P16" s="29">
        <v>2</v>
      </c>
      <c r="Q16" s="149">
        <v>2</v>
      </c>
      <c r="R16" s="29">
        <v>2</v>
      </c>
      <c r="S16" s="149">
        <v>0</v>
      </c>
      <c r="T16" s="112"/>
      <c r="U16" s="103"/>
      <c r="V16" s="38"/>
      <c r="W16" s="38"/>
      <c r="X16" s="33"/>
      <c r="Y16" s="33"/>
      <c r="Z16" s="33"/>
      <c r="AA16" s="33"/>
      <c r="AB16" s="39"/>
      <c r="AC16" s="40"/>
      <c r="AD16" s="40"/>
      <c r="AE16" s="40"/>
      <c r="AF16" s="40"/>
      <c r="AG16" s="38"/>
      <c r="AH16" s="31"/>
      <c r="AI16" s="41"/>
      <c r="AJ16" s="93"/>
    </row>
    <row r="17" spans="1:36" ht="12" customHeight="1">
      <c r="A17" s="93">
        <v>4</v>
      </c>
      <c r="B17" s="89">
        <v>4</v>
      </c>
      <c r="C17" s="160" t="s">
        <v>21</v>
      </c>
      <c r="D17" s="161"/>
      <c r="E17" s="93"/>
      <c r="F17" s="166"/>
      <c r="G17" s="167"/>
      <c r="H17" s="167"/>
      <c r="I17" s="167"/>
      <c r="J17" s="167"/>
      <c r="K17" s="167"/>
      <c r="L17" s="167"/>
      <c r="M17" s="93"/>
      <c r="N17" s="51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3"/>
      <c r="AJ17" s="93"/>
    </row>
    <row r="18" spans="1:36" ht="12" customHeight="1">
      <c r="A18" s="92"/>
      <c r="B18" s="118">
        <v>4.0999999999999996</v>
      </c>
      <c r="C18" s="162" t="s">
        <v>39</v>
      </c>
      <c r="D18" s="163"/>
      <c r="E18" s="93"/>
      <c r="F18" s="23"/>
      <c r="G18" s="24"/>
      <c r="H18" s="25">
        <v>2</v>
      </c>
      <c r="I18" s="26">
        <f>SUM(O18,Q18,S18,W18,Y18,AA18,AC18,AE18,AG18,AI18)</f>
        <v>2.5</v>
      </c>
      <c r="J18" s="26">
        <v>-0.5</v>
      </c>
      <c r="K18" s="42">
        <v>42453</v>
      </c>
      <c r="L18" s="37" t="s">
        <v>102</v>
      </c>
      <c r="M18" s="93"/>
      <c r="N18" s="33"/>
      <c r="O18" s="33"/>
      <c r="P18" s="29">
        <v>2</v>
      </c>
      <c r="Q18" s="149">
        <v>2.5</v>
      </c>
      <c r="R18" s="38"/>
      <c r="S18" s="38"/>
      <c r="T18" s="113"/>
      <c r="U18" s="109"/>
      <c r="V18" s="38"/>
      <c r="W18" s="38"/>
      <c r="X18" s="117"/>
      <c r="Y18" s="117"/>
      <c r="Z18" s="30"/>
      <c r="AA18" s="54"/>
      <c r="AB18" s="40"/>
      <c r="AC18" s="40"/>
      <c r="AD18" s="40"/>
      <c r="AE18" s="40"/>
      <c r="AF18" s="40"/>
      <c r="AG18" s="38"/>
      <c r="AH18" s="31"/>
      <c r="AI18" s="41"/>
      <c r="AJ18" s="93"/>
    </row>
    <row r="19" spans="1:36" ht="12" customHeight="1">
      <c r="A19" s="93"/>
      <c r="B19" s="118">
        <v>4.2</v>
      </c>
      <c r="C19" s="156" t="s">
        <v>40</v>
      </c>
      <c r="D19" s="157"/>
      <c r="E19" s="93"/>
      <c r="F19" s="23"/>
      <c r="G19" s="24"/>
      <c r="H19" s="25">
        <v>3</v>
      </c>
      <c r="I19" s="26">
        <f t="shared" ref="I19:I26" si="1">SUM(O19,Q19,S19,W19,Y19,AA19,AC19,AE19,AG19,AI19)</f>
        <v>3</v>
      </c>
      <c r="J19" s="26">
        <v>0</v>
      </c>
      <c r="K19" s="27"/>
      <c r="L19" s="37" t="s">
        <v>102</v>
      </c>
      <c r="M19" s="93"/>
      <c r="N19" s="32"/>
      <c r="O19" s="32"/>
      <c r="P19" s="31"/>
      <c r="Q19" s="31"/>
      <c r="R19" s="29">
        <v>3</v>
      </c>
      <c r="S19" s="149">
        <v>3</v>
      </c>
      <c r="T19" s="101"/>
      <c r="U19" s="100"/>
      <c r="V19" s="31"/>
      <c r="W19" s="31"/>
      <c r="X19" s="117"/>
      <c r="Y19" s="117"/>
      <c r="Z19" s="30"/>
      <c r="AA19" s="40"/>
      <c r="AB19" s="30"/>
      <c r="AC19" s="31"/>
      <c r="AD19" s="31"/>
      <c r="AE19" s="31"/>
      <c r="AF19" s="31"/>
      <c r="AG19" s="31"/>
      <c r="AH19" s="31"/>
      <c r="AI19" s="49"/>
      <c r="AJ19" s="93"/>
    </row>
    <row r="20" spans="1:36" ht="12" customHeight="1">
      <c r="A20" s="93"/>
      <c r="B20" s="118">
        <v>4.3</v>
      </c>
      <c r="C20" s="164" t="s">
        <v>101</v>
      </c>
      <c r="D20" s="165"/>
      <c r="E20" s="93"/>
      <c r="F20" s="23">
        <v>4.0999999999999996</v>
      </c>
      <c r="G20" s="24">
        <v>4.4000000000000004</v>
      </c>
      <c r="H20" s="25">
        <v>5</v>
      </c>
      <c r="I20" s="26">
        <f t="shared" si="1"/>
        <v>5</v>
      </c>
      <c r="J20" s="26">
        <v>0</v>
      </c>
      <c r="K20" s="27"/>
      <c r="L20" s="37" t="s">
        <v>102</v>
      </c>
      <c r="M20" s="93"/>
      <c r="N20" s="30"/>
      <c r="O20" s="30"/>
      <c r="P20" s="31"/>
      <c r="Q20" s="31"/>
      <c r="R20" s="29">
        <v>2.5</v>
      </c>
      <c r="S20" s="149">
        <v>2.5</v>
      </c>
      <c r="T20" s="101"/>
      <c r="U20" s="100"/>
      <c r="V20" s="29">
        <v>1.5</v>
      </c>
      <c r="W20" s="149">
        <v>1.5</v>
      </c>
      <c r="X20" s="29">
        <v>1</v>
      </c>
      <c r="Y20" s="149">
        <v>1</v>
      </c>
      <c r="Z20" s="117"/>
      <c r="AA20" s="117"/>
      <c r="AB20" s="30"/>
      <c r="AC20" s="31"/>
      <c r="AD20" s="31"/>
      <c r="AE20" s="31"/>
      <c r="AF20" s="31"/>
      <c r="AG20" s="31"/>
      <c r="AH20" s="31"/>
      <c r="AI20" s="49"/>
      <c r="AJ20" s="93"/>
    </row>
    <row r="21" spans="1:36" ht="12" customHeight="1">
      <c r="A21" s="93"/>
      <c r="B21" s="118">
        <v>4.4000000000000004</v>
      </c>
      <c r="C21" s="156" t="s">
        <v>42</v>
      </c>
      <c r="D21" s="157"/>
      <c r="E21" s="93"/>
      <c r="F21" s="23">
        <v>4.0999999999999996</v>
      </c>
      <c r="G21" s="24">
        <v>4.5</v>
      </c>
      <c r="H21" s="25">
        <v>7</v>
      </c>
      <c r="I21" s="26">
        <f t="shared" si="1"/>
        <v>8</v>
      </c>
      <c r="J21" s="26">
        <v>-1</v>
      </c>
      <c r="K21" s="42">
        <v>42460</v>
      </c>
      <c r="L21" s="37" t="s">
        <v>102</v>
      </c>
      <c r="M21" s="93"/>
      <c r="N21" s="30"/>
      <c r="O21" s="30"/>
      <c r="P21" s="31"/>
      <c r="Q21" s="31"/>
      <c r="R21" s="31"/>
      <c r="S21" s="31"/>
      <c r="T21" s="101"/>
      <c r="U21" s="100"/>
      <c r="V21" s="29">
        <v>5</v>
      </c>
      <c r="W21" s="149">
        <v>6</v>
      </c>
      <c r="X21" s="29">
        <v>2</v>
      </c>
      <c r="Y21" s="149">
        <v>2</v>
      </c>
      <c r="Z21" s="117"/>
      <c r="AA21" s="117"/>
      <c r="AB21" s="30"/>
      <c r="AC21" s="31"/>
      <c r="AD21" s="31"/>
      <c r="AE21" s="31"/>
      <c r="AF21" s="31"/>
      <c r="AG21" s="31"/>
      <c r="AH21" s="31"/>
      <c r="AI21" s="49"/>
      <c r="AJ21" s="93"/>
    </row>
    <row r="22" spans="1:36" ht="12" customHeight="1">
      <c r="A22" s="93"/>
      <c r="B22" s="118">
        <v>4.5</v>
      </c>
      <c r="C22" s="156" t="s">
        <v>43</v>
      </c>
      <c r="D22" s="157"/>
      <c r="E22" s="93"/>
      <c r="F22" s="23">
        <v>4.0999999999999996</v>
      </c>
      <c r="G22" s="24">
        <v>4.5999999999999996</v>
      </c>
      <c r="H22" s="25">
        <v>4</v>
      </c>
      <c r="I22" s="26">
        <f t="shared" si="1"/>
        <v>4.5</v>
      </c>
      <c r="J22" s="26">
        <v>-0.5</v>
      </c>
      <c r="K22" s="27"/>
      <c r="L22" s="37" t="s">
        <v>102</v>
      </c>
      <c r="M22" s="93"/>
      <c r="N22" s="30"/>
      <c r="O22" s="30"/>
      <c r="P22" s="44"/>
      <c r="Q22" s="44"/>
      <c r="R22" s="44"/>
      <c r="S22" s="44"/>
      <c r="T22" s="101"/>
      <c r="U22" s="100"/>
      <c r="V22" s="44"/>
      <c r="W22" s="44"/>
      <c r="X22" s="29">
        <v>2.5</v>
      </c>
      <c r="Y22" s="149">
        <v>3</v>
      </c>
      <c r="Z22" s="29">
        <v>1.5</v>
      </c>
      <c r="AA22" s="149">
        <v>1.5</v>
      </c>
      <c r="AB22" s="117"/>
      <c r="AC22" s="117"/>
      <c r="AD22" s="44"/>
      <c r="AE22" s="44"/>
      <c r="AF22" s="44"/>
      <c r="AG22" s="44"/>
      <c r="AH22" s="31"/>
      <c r="AI22" s="50"/>
      <c r="AJ22" s="93"/>
    </row>
    <row r="23" spans="1:36" ht="12" customHeight="1">
      <c r="A23" s="93"/>
      <c r="B23" s="118">
        <v>4.5999999999999996</v>
      </c>
      <c r="C23" s="156" t="s">
        <v>44</v>
      </c>
      <c r="D23" s="157"/>
      <c r="E23" s="93"/>
      <c r="F23" s="23">
        <v>4.5999999999999996</v>
      </c>
      <c r="G23" s="24">
        <v>4.7</v>
      </c>
      <c r="H23" s="25">
        <v>4</v>
      </c>
      <c r="I23" s="26">
        <f t="shared" si="1"/>
        <v>3</v>
      </c>
      <c r="J23" s="26">
        <v>1</v>
      </c>
      <c r="K23" s="27"/>
      <c r="L23" s="37" t="s">
        <v>102</v>
      </c>
      <c r="M23" s="93"/>
      <c r="N23" s="30"/>
      <c r="O23" s="30"/>
      <c r="P23" s="44"/>
      <c r="Q23" s="44"/>
      <c r="R23" s="44"/>
      <c r="S23" s="44"/>
      <c r="T23" s="101"/>
      <c r="U23" s="100"/>
      <c r="V23" s="44"/>
      <c r="W23" s="31"/>
      <c r="X23" s="32"/>
      <c r="Y23" s="32"/>
      <c r="Z23" s="29">
        <v>4</v>
      </c>
      <c r="AA23" s="149">
        <v>3</v>
      </c>
      <c r="AB23" s="117"/>
      <c r="AC23" s="117"/>
      <c r="AD23" s="32"/>
      <c r="AE23" s="31"/>
      <c r="AF23" s="31"/>
      <c r="AG23" s="31"/>
      <c r="AH23" s="31"/>
      <c r="AI23" s="50"/>
      <c r="AJ23" s="93"/>
    </row>
    <row r="24" spans="1:36" ht="12" customHeight="1">
      <c r="A24" s="93"/>
      <c r="B24" s="118">
        <v>4.7</v>
      </c>
      <c r="C24" s="84" t="s">
        <v>22</v>
      </c>
      <c r="D24" s="83"/>
      <c r="E24" s="93"/>
      <c r="F24" s="23" t="s">
        <v>55</v>
      </c>
      <c r="G24" s="24"/>
      <c r="H24" s="25">
        <v>4</v>
      </c>
      <c r="I24" s="26">
        <f t="shared" si="1"/>
        <v>4</v>
      </c>
      <c r="J24" s="26">
        <v>0</v>
      </c>
      <c r="K24" s="27"/>
      <c r="L24" s="37" t="s">
        <v>102</v>
      </c>
      <c r="M24" s="93"/>
      <c r="N24" s="30"/>
      <c r="O24" s="30"/>
      <c r="P24" s="44"/>
      <c r="Q24" s="44"/>
      <c r="R24" s="44"/>
      <c r="S24" s="44"/>
      <c r="T24" s="101"/>
      <c r="U24" s="102"/>
      <c r="V24" s="30"/>
      <c r="W24" s="44"/>
      <c r="X24" s="30"/>
      <c r="Y24" s="30"/>
      <c r="Z24" s="30"/>
      <c r="AA24" s="30"/>
      <c r="AB24" s="29">
        <v>4</v>
      </c>
      <c r="AC24" s="149">
        <v>4</v>
      </c>
      <c r="AD24" s="32"/>
      <c r="AE24" s="44"/>
      <c r="AF24" s="44"/>
      <c r="AG24" s="44"/>
      <c r="AH24" s="31"/>
      <c r="AI24" s="50"/>
      <c r="AJ24" s="93"/>
    </row>
    <row r="25" spans="1:36" ht="12" customHeight="1">
      <c r="A25" s="93"/>
      <c r="B25" s="118">
        <v>4.8</v>
      </c>
      <c r="C25" s="156" t="s">
        <v>45</v>
      </c>
      <c r="D25" s="157"/>
      <c r="E25" s="93"/>
      <c r="F25" s="23">
        <v>4.0999999999999996</v>
      </c>
      <c r="G25" s="24">
        <v>4.9000000000000004</v>
      </c>
      <c r="H25" s="25">
        <v>2</v>
      </c>
      <c r="I25" s="26">
        <v>2</v>
      </c>
      <c r="J25" s="26">
        <v>-1</v>
      </c>
      <c r="K25" s="27"/>
      <c r="L25" s="37" t="s">
        <v>102</v>
      </c>
      <c r="M25" s="93"/>
      <c r="N25" s="30"/>
      <c r="O25" s="30"/>
      <c r="P25" s="44"/>
      <c r="Q25" s="44"/>
      <c r="R25" s="44"/>
      <c r="S25" s="44"/>
      <c r="T25" s="101"/>
      <c r="U25" s="102"/>
      <c r="V25" s="30"/>
      <c r="W25" s="44"/>
      <c r="X25" s="30"/>
      <c r="Y25" s="30"/>
      <c r="Z25" s="30"/>
      <c r="AA25" s="30"/>
      <c r="AB25" s="29">
        <v>1</v>
      </c>
      <c r="AC25" s="149">
        <v>2</v>
      </c>
      <c r="AD25" s="29">
        <v>1</v>
      </c>
      <c r="AE25" s="152">
        <v>0</v>
      </c>
      <c r="AF25" s="44"/>
      <c r="AG25" s="44"/>
      <c r="AH25" s="31"/>
      <c r="AI25" s="50"/>
      <c r="AJ25" s="93"/>
    </row>
    <row r="26" spans="1:36" ht="12" customHeight="1">
      <c r="A26" s="93"/>
      <c r="B26" s="118">
        <v>4.9000000000000004</v>
      </c>
      <c r="C26" s="158" t="s">
        <v>23</v>
      </c>
      <c r="D26" s="159"/>
      <c r="E26" s="93"/>
      <c r="F26" s="23">
        <v>4.0999999999999996</v>
      </c>
      <c r="G26" s="24"/>
      <c r="H26" s="25">
        <v>1</v>
      </c>
      <c r="I26" s="26">
        <f t="shared" si="1"/>
        <v>1</v>
      </c>
      <c r="J26" s="26">
        <v>0</v>
      </c>
      <c r="K26" s="42">
        <v>42464</v>
      </c>
      <c r="L26" s="37" t="s">
        <v>102</v>
      </c>
      <c r="M26" s="93"/>
      <c r="N26" s="30"/>
      <c r="O26" s="30"/>
      <c r="P26" s="44"/>
      <c r="Q26" s="44"/>
      <c r="R26" s="44"/>
      <c r="S26" s="44"/>
      <c r="T26" s="110"/>
      <c r="U26" s="111"/>
      <c r="V26" s="44"/>
      <c r="W26" s="44"/>
      <c r="X26" s="30"/>
      <c r="Y26" s="30"/>
      <c r="Z26" s="30"/>
      <c r="AA26" s="30"/>
      <c r="AB26" s="117"/>
      <c r="AC26" s="117"/>
      <c r="AD26" s="29">
        <v>1</v>
      </c>
      <c r="AE26" s="149">
        <v>1</v>
      </c>
      <c r="AF26" s="44"/>
      <c r="AG26" s="44"/>
      <c r="AH26" s="31"/>
      <c r="AI26" s="50"/>
      <c r="AJ26" s="93"/>
    </row>
    <row r="27" spans="1:36" ht="12" customHeight="1">
      <c r="A27" s="93">
        <v>5</v>
      </c>
      <c r="B27" s="91">
        <v>5</v>
      </c>
      <c r="C27" s="168" t="s">
        <v>24</v>
      </c>
      <c r="D27" s="169"/>
      <c r="E27" s="93"/>
      <c r="F27" s="170"/>
      <c r="G27" s="171"/>
      <c r="H27" s="171"/>
      <c r="I27" s="171"/>
      <c r="J27" s="171"/>
      <c r="K27" s="171"/>
      <c r="L27" s="171"/>
      <c r="M27" s="93"/>
      <c r="N27" s="55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7"/>
      <c r="AJ27" s="93"/>
    </row>
    <row r="28" spans="1:36" ht="12" customHeight="1">
      <c r="A28" s="92"/>
      <c r="B28" s="119">
        <v>5.0999999999999996</v>
      </c>
      <c r="C28" s="58" t="s">
        <v>25</v>
      </c>
      <c r="D28" s="58"/>
      <c r="E28" s="93"/>
      <c r="F28" s="59">
        <v>4.7</v>
      </c>
      <c r="G28" s="60"/>
      <c r="H28" s="61">
        <v>3</v>
      </c>
      <c r="I28" s="26">
        <f>SUM(O28,Q28,S28,W28,Y28,AA28,AC28,AE28,AG28,AI28)</f>
        <v>3</v>
      </c>
      <c r="J28" s="26">
        <v>0</v>
      </c>
      <c r="K28" s="62"/>
      <c r="L28" s="37" t="s">
        <v>102</v>
      </c>
      <c r="M28" s="93"/>
      <c r="N28" s="39"/>
      <c r="O28" s="39"/>
      <c r="P28" s="40"/>
      <c r="Q28" s="40"/>
      <c r="R28" s="38"/>
      <c r="S28" s="38"/>
      <c r="T28" s="101"/>
      <c r="U28" s="109"/>
      <c r="V28" s="38"/>
      <c r="W28" s="38"/>
      <c r="X28" s="33"/>
      <c r="Y28" s="33"/>
      <c r="Z28" s="33"/>
      <c r="AA28" s="33"/>
      <c r="AB28" s="33"/>
      <c r="AC28" s="33"/>
      <c r="AD28" s="29">
        <v>3</v>
      </c>
      <c r="AE28" s="149">
        <v>3</v>
      </c>
      <c r="AF28" s="117"/>
      <c r="AG28" s="117"/>
      <c r="AH28" s="44"/>
      <c r="AI28" s="38"/>
      <c r="AJ28" s="93"/>
    </row>
    <row r="29" spans="1:36" ht="12" customHeight="1">
      <c r="A29" s="93"/>
      <c r="B29" s="119">
        <v>5.2</v>
      </c>
      <c r="C29" s="58" t="s">
        <v>26</v>
      </c>
      <c r="D29" s="58"/>
      <c r="E29" s="93"/>
      <c r="F29" s="59">
        <v>3.1</v>
      </c>
      <c r="G29" s="60"/>
      <c r="H29" s="61">
        <v>3</v>
      </c>
      <c r="I29" s="26">
        <v>3</v>
      </c>
      <c r="J29" s="26">
        <v>0</v>
      </c>
      <c r="K29" s="62"/>
      <c r="L29" s="37" t="s">
        <v>102</v>
      </c>
      <c r="M29" s="93"/>
      <c r="N29" s="32"/>
      <c r="O29" s="32"/>
      <c r="P29" s="31"/>
      <c r="Q29" s="31"/>
      <c r="R29" s="31"/>
      <c r="S29" s="31"/>
      <c r="T29" s="110"/>
      <c r="U29" s="111"/>
      <c r="V29" s="31"/>
      <c r="W29" s="31"/>
      <c r="X29" s="32"/>
      <c r="Y29" s="32"/>
      <c r="Z29" s="32"/>
      <c r="AA29" s="32"/>
      <c r="AB29" s="32"/>
      <c r="AC29" s="32"/>
      <c r="AD29" s="29">
        <v>1</v>
      </c>
      <c r="AE29" s="149">
        <v>1</v>
      </c>
      <c r="AF29" s="29">
        <v>2</v>
      </c>
      <c r="AG29" s="149">
        <v>2</v>
      </c>
      <c r="AH29" s="44"/>
      <c r="AI29" s="31"/>
      <c r="AJ29" s="93"/>
    </row>
    <row r="30" spans="1:36" ht="12" customHeight="1">
      <c r="A30" s="93">
        <v>6</v>
      </c>
      <c r="B30" s="142">
        <v>6</v>
      </c>
      <c r="C30" s="219" t="s">
        <v>46</v>
      </c>
      <c r="D30" s="220"/>
      <c r="E30" s="93"/>
      <c r="F30" s="65"/>
      <c r="G30" s="66"/>
      <c r="H30" s="66"/>
      <c r="I30" s="66"/>
      <c r="J30" s="66"/>
      <c r="K30" s="66"/>
      <c r="L30" s="66"/>
      <c r="M30" s="93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115"/>
    </row>
    <row r="31" spans="1:36" ht="12" customHeight="1">
      <c r="A31" s="93"/>
      <c r="B31" s="68">
        <v>6.1</v>
      </c>
      <c r="C31" s="221" t="s">
        <v>47</v>
      </c>
      <c r="D31" s="222"/>
      <c r="E31" s="93"/>
      <c r="F31" s="69"/>
      <c r="G31" s="69"/>
      <c r="H31" s="70">
        <v>2</v>
      </c>
      <c r="I31" s="26">
        <f>SUM(O31,Q31,S31,W31,Y31,AA31,AC31,AE31,AG31,AI31)</f>
        <v>2</v>
      </c>
      <c r="J31" s="26">
        <v>0</v>
      </c>
      <c r="K31" s="63">
        <v>42467</v>
      </c>
      <c r="L31" s="37" t="s">
        <v>102</v>
      </c>
      <c r="M31" s="93"/>
      <c r="N31" s="32"/>
      <c r="O31" s="32"/>
      <c r="P31" s="31"/>
      <c r="Q31" s="31"/>
      <c r="R31" s="31"/>
      <c r="S31" s="32"/>
      <c r="T31" s="114"/>
      <c r="U31" s="103"/>
      <c r="V31" s="31"/>
      <c r="W31" s="31"/>
      <c r="X31" s="31"/>
      <c r="Y31" s="32"/>
      <c r="Z31" s="32"/>
      <c r="AA31" s="32"/>
      <c r="AB31" s="32"/>
      <c r="AC31" s="32"/>
      <c r="AD31" s="32"/>
      <c r="AE31" s="32"/>
      <c r="AF31" s="29">
        <v>2</v>
      </c>
      <c r="AG31" s="153">
        <v>2</v>
      </c>
      <c r="AH31" s="117"/>
      <c r="AI31" s="117"/>
      <c r="AJ31" s="116"/>
    </row>
    <row r="32" spans="1:36" ht="12" customHeight="1">
      <c r="A32" s="93">
        <v>7</v>
      </c>
      <c r="B32" s="143">
        <v>7</v>
      </c>
      <c r="C32" s="223" t="s">
        <v>27</v>
      </c>
      <c r="D32" s="224"/>
      <c r="E32" s="93"/>
      <c r="F32" s="154"/>
      <c r="G32" s="155"/>
      <c r="H32" s="155"/>
      <c r="I32" s="155"/>
      <c r="J32" s="155"/>
      <c r="K32" s="155"/>
      <c r="L32" s="155"/>
      <c r="M32" s="97"/>
      <c r="N32" s="71"/>
      <c r="O32" s="145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3"/>
      <c r="AJ32" s="116"/>
    </row>
    <row r="33" spans="1:36" ht="12" customHeight="1">
      <c r="A33" s="92"/>
      <c r="B33" s="74">
        <v>7.1</v>
      </c>
      <c r="C33" s="225" t="s">
        <v>48</v>
      </c>
      <c r="D33" s="226"/>
      <c r="E33" s="93"/>
      <c r="F33" s="59"/>
      <c r="G33" s="60"/>
      <c r="H33" s="61">
        <v>1</v>
      </c>
      <c r="I33" s="26">
        <f t="shared" ref="I33:I39" si="2">SUM(O33,Q33,S33,W33,Y33,AA33,AC33,AE33,AG33,AI33)</f>
        <v>0.99999999999999989</v>
      </c>
      <c r="J33" s="26">
        <v>0</v>
      </c>
      <c r="K33" s="62"/>
      <c r="L33" s="64"/>
      <c r="M33" s="93"/>
      <c r="N33" s="29">
        <v>0.1</v>
      </c>
      <c r="O33" s="149">
        <v>0.1</v>
      </c>
      <c r="P33" s="29">
        <v>0.1</v>
      </c>
      <c r="Q33" s="149">
        <v>0.1</v>
      </c>
      <c r="R33" s="29">
        <v>0.1</v>
      </c>
      <c r="S33" s="149">
        <v>0.1</v>
      </c>
      <c r="T33" s="113"/>
      <c r="U33" s="109"/>
      <c r="V33" s="29">
        <v>0.1</v>
      </c>
      <c r="W33" s="149">
        <v>0.1</v>
      </c>
      <c r="X33" s="29">
        <v>0.1</v>
      </c>
      <c r="Y33" s="149">
        <v>0.1</v>
      </c>
      <c r="Z33" s="29">
        <v>0.1</v>
      </c>
      <c r="AA33" s="149">
        <v>0.1</v>
      </c>
      <c r="AB33" s="29">
        <v>0.1</v>
      </c>
      <c r="AC33" s="149">
        <v>0.1</v>
      </c>
      <c r="AD33" s="29">
        <v>0.1</v>
      </c>
      <c r="AE33" s="149">
        <v>0.1</v>
      </c>
      <c r="AF33" s="29">
        <v>0.1</v>
      </c>
      <c r="AG33" s="149">
        <v>0.1</v>
      </c>
      <c r="AH33" s="29">
        <v>0.1</v>
      </c>
      <c r="AI33" s="149">
        <v>0.1</v>
      </c>
      <c r="AJ33" s="93"/>
    </row>
    <row r="34" spans="1:36" ht="12" customHeight="1">
      <c r="A34" s="93"/>
      <c r="B34" s="74">
        <v>7.2</v>
      </c>
      <c r="C34" s="176" t="s">
        <v>28</v>
      </c>
      <c r="D34" s="177"/>
      <c r="E34" s="93"/>
      <c r="F34" s="59"/>
      <c r="G34" s="60"/>
      <c r="H34" s="61">
        <v>1</v>
      </c>
      <c r="I34" s="26">
        <f t="shared" si="2"/>
        <v>1.2</v>
      </c>
      <c r="J34" s="26">
        <v>0.1</v>
      </c>
      <c r="K34" s="62"/>
      <c r="L34" s="64"/>
      <c r="M34" s="93"/>
      <c r="N34" s="29">
        <v>0.1</v>
      </c>
      <c r="O34" s="149">
        <v>0.1</v>
      </c>
      <c r="P34" s="29">
        <v>0.1</v>
      </c>
      <c r="Q34" s="149">
        <v>0.1</v>
      </c>
      <c r="R34" s="29">
        <v>0.1</v>
      </c>
      <c r="S34" s="149">
        <v>0.1</v>
      </c>
      <c r="T34" s="101"/>
      <c r="U34" s="100"/>
      <c r="V34" s="29">
        <v>0.1</v>
      </c>
      <c r="W34" s="149">
        <v>0.1</v>
      </c>
      <c r="X34" s="29">
        <v>0.1</v>
      </c>
      <c r="Y34" s="149">
        <v>0.2</v>
      </c>
      <c r="Z34" s="29">
        <v>0.1</v>
      </c>
      <c r="AA34" s="149">
        <v>0.1</v>
      </c>
      <c r="AB34" s="29">
        <v>0.1</v>
      </c>
      <c r="AC34" s="149">
        <v>0.1</v>
      </c>
      <c r="AD34" s="29">
        <v>0.1</v>
      </c>
      <c r="AE34" s="149">
        <v>0.1</v>
      </c>
      <c r="AF34" s="29">
        <v>0.1</v>
      </c>
      <c r="AG34" s="149">
        <v>0.1</v>
      </c>
      <c r="AH34" s="29">
        <v>0.1</v>
      </c>
      <c r="AI34" s="149">
        <v>0.2</v>
      </c>
      <c r="AJ34" s="93"/>
    </row>
    <row r="35" spans="1:36" ht="12" customHeight="1">
      <c r="A35" s="93"/>
      <c r="B35" s="74">
        <v>7.3</v>
      </c>
      <c r="C35" s="176" t="s">
        <v>29</v>
      </c>
      <c r="D35" s="177"/>
      <c r="E35" s="93"/>
      <c r="F35" s="59"/>
      <c r="G35" s="60"/>
      <c r="H35" s="61">
        <v>12</v>
      </c>
      <c r="I35" s="26">
        <f t="shared" si="2"/>
        <v>18</v>
      </c>
      <c r="J35" s="26">
        <v>0</v>
      </c>
      <c r="K35" s="62"/>
      <c r="L35" s="64"/>
      <c r="M35" s="93"/>
      <c r="N35" s="29">
        <v>1</v>
      </c>
      <c r="O35" s="149">
        <v>1</v>
      </c>
      <c r="P35" s="29">
        <v>1</v>
      </c>
      <c r="Q35" s="149">
        <v>1</v>
      </c>
      <c r="R35" s="29">
        <v>1</v>
      </c>
      <c r="S35" s="149">
        <v>1.5</v>
      </c>
      <c r="T35" s="101"/>
      <c r="U35" s="100"/>
      <c r="V35" s="29">
        <v>1</v>
      </c>
      <c r="W35" s="149">
        <v>0.5</v>
      </c>
      <c r="X35" s="29">
        <v>1</v>
      </c>
      <c r="Y35" s="149">
        <v>1</v>
      </c>
      <c r="Z35" s="29">
        <v>1</v>
      </c>
      <c r="AA35" s="149">
        <v>3</v>
      </c>
      <c r="AB35" s="29">
        <v>1</v>
      </c>
      <c r="AC35" s="149">
        <v>1</v>
      </c>
      <c r="AD35" s="29">
        <v>1</v>
      </c>
      <c r="AE35" s="149">
        <v>2</v>
      </c>
      <c r="AF35" s="29">
        <v>1</v>
      </c>
      <c r="AG35" s="149">
        <v>3</v>
      </c>
      <c r="AH35" s="29">
        <v>4</v>
      </c>
      <c r="AI35" s="149">
        <v>4</v>
      </c>
      <c r="AJ35" s="93"/>
    </row>
    <row r="36" spans="1:36" ht="12" customHeight="1">
      <c r="A36" s="93"/>
      <c r="B36" s="74">
        <v>7.4</v>
      </c>
      <c r="C36" s="176" t="s">
        <v>49</v>
      </c>
      <c r="D36" s="177"/>
      <c r="E36" s="93"/>
      <c r="F36" s="23"/>
      <c r="G36" s="24"/>
      <c r="H36" s="25">
        <v>3</v>
      </c>
      <c r="I36" s="26">
        <f t="shared" si="2"/>
        <v>3.5</v>
      </c>
      <c r="J36" s="26">
        <f>H36-I36</f>
        <v>-0.5</v>
      </c>
      <c r="K36" s="27"/>
      <c r="L36" s="37" t="s">
        <v>102</v>
      </c>
      <c r="M36" s="93"/>
      <c r="N36" s="29">
        <v>0.5</v>
      </c>
      <c r="O36" s="149">
        <v>1</v>
      </c>
      <c r="P36" s="117"/>
      <c r="Q36" s="117"/>
      <c r="R36" s="29">
        <v>0.5</v>
      </c>
      <c r="S36" s="149">
        <v>0.5</v>
      </c>
      <c r="T36" s="101"/>
      <c r="U36" s="100"/>
      <c r="V36" s="117"/>
      <c r="W36" s="117"/>
      <c r="X36" s="29">
        <v>0.5</v>
      </c>
      <c r="Y36" s="149">
        <v>0.5</v>
      </c>
      <c r="Z36" s="117"/>
      <c r="AA36" s="117"/>
      <c r="AB36" s="29">
        <v>0.5</v>
      </c>
      <c r="AC36" s="149">
        <v>0.5</v>
      </c>
      <c r="AD36" s="117"/>
      <c r="AE36" s="117"/>
      <c r="AF36" s="29">
        <v>1</v>
      </c>
      <c r="AG36" s="149">
        <v>1</v>
      </c>
      <c r="AH36" s="117"/>
      <c r="AI36" s="117"/>
      <c r="AJ36" s="93"/>
    </row>
    <row r="37" spans="1:36" ht="12" customHeight="1">
      <c r="A37" s="93"/>
      <c r="B37" s="74">
        <v>7.5</v>
      </c>
      <c r="C37" s="85" t="s">
        <v>30</v>
      </c>
      <c r="D37" s="86"/>
      <c r="E37" s="93"/>
      <c r="F37" s="23"/>
      <c r="G37" s="24"/>
      <c r="H37" s="25">
        <v>2</v>
      </c>
      <c r="I37" s="26">
        <f t="shared" si="2"/>
        <v>1.2</v>
      </c>
      <c r="J37" s="26">
        <v>0.5</v>
      </c>
      <c r="K37" s="27"/>
      <c r="L37" s="37" t="s">
        <v>102</v>
      </c>
      <c r="M37" s="93"/>
      <c r="N37" s="117"/>
      <c r="O37" s="117"/>
      <c r="P37" s="29">
        <v>2</v>
      </c>
      <c r="Q37" s="149">
        <v>1.2</v>
      </c>
      <c r="R37" s="117"/>
      <c r="S37" s="117"/>
      <c r="T37" s="101"/>
      <c r="U37" s="100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93"/>
    </row>
    <row r="38" spans="1:36" ht="12" customHeight="1">
      <c r="A38" s="93"/>
      <c r="B38" s="74">
        <v>7.6</v>
      </c>
      <c r="C38" s="176" t="s">
        <v>50</v>
      </c>
      <c r="D38" s="177"/>
      <c r="E38" s="93"/>
      <c r="F38" s="23"/>
      <c r="G38" s="24"/>
      <c r="H38" s="25">
        <v>1</v>
      </c>
      <c r="I38" s="26">
        <f t="shared" si="2"/>
        <v>2.8000000000000003</v>
      </c>
      <c r="J38" s="26">
        <v>-0.7</v>
      </c>
      <c r="K38" s="27"/>
      <c r="L38" s="37"/>
      <c r="M38" s="93"/>
      <c r="N38" s="29">
        <v>0.1</v>
      </c>
      <c r="O38" s="149">
        <v>0.5</v>
      </c>
      <c r="P38" s="29">
        <v>0.1</v>
      </c>
      <c r="Q38" s="149">
        <v>0.1</v>
      </c>
      <c r="R38" s="29">
        <v>0.1</v>
      </c>
      <c r="S38" s="149">
        <v>0.3</v>
      </c>
      <c r="T38" s="101"/>
      <c r="U38" s="100"/>
      <c r="V38" s="29">
        <v>0.1</v>
      </c>
      <c r="W38" s="149">
        <v>0.1</v>
      </c>
      <c r="X38" s="29">
        <v>0.1</v>
      </c>
      <c r="Y38" s="149">
        <v>0.2</v>
      </c>
      <c r="Z38" s="29">
        <v>0.1</v>
      </c>
      <c r="AA38" s="149">
        <v>0.1</v>
      </c>
      <c r="AB38" s="29">
        <v>0.1</v>
      </c>
      <c r="AC38" s="149">
        <v>0.1</v>
      </c>
      <c r="AD38" s="29">
        <v>0.1</v>
      </c>
      <c r="AE38" s="149">
        <v>0.3</v>
      </c>
      <c r="AF38" s="29">
        <v>0.1</v>
      </c>
      <c r="AG38" s="149">
        <v>0.1</v>
      </c>
      <c r="AH38" s="29">
        <v>0.1</v>
      </c>
      <c r="AI38" s="149">
        <v>1</v>
      </c>
      <c r="AJ38" s="93"/>
    </row>
    <row r="39" spans="1:36" ht="12" customHeight="1">
      <c r="A39" s="93"/>
      <c r="B39" s="121">
        <v>7.7</v>
      </c>
      <c r="C39" s="178" t="s">
        <v>51</v>
      </c>
      <c r="D39" s="179"/>
      <c r="E39" s="93"/>
      <c r="F39" s="23"/>
      <c r="G39" s="24"/>
      <c r="H39" s="25">
        <v>1.5</v>
      </c>
      <c r="I39" s="26">
        <f t="shared" si="2"/>
        <v>1.5</v>
      </c>
      <c r="J39" s="26">
        <v>0</v>
      </c>
      <c r="K39" s="27"/>
      <c r="L39" s="37"/>
      <c r="M39" s="93"/>
      <c r="N39" s="117"/>
      <c r="O39" s="117"/>
      <c r="P39" s="117"/>
      <c r="Q39" s="117"/>
      <c r="R39" s="117"/>
      <c r="S39" s="117"/>
      <c r="T39" s="110"/>
      <c r="U39" s="111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29">
        <v>1.5</v>
      </c>
      <c r="AI39" s="149">
        <v>1.5</v>
      </c>
      <c r="AJ39" s="93"/>
    </row>
    <row r="40" spans="1:36" ht="12" customHeight="1">
      <c r="A40" s="93">
        <v>8</v>
      </c>
      <c r="B40" s="144">
        <v>8</v>
      </c>
      <c r="C40" s="212" t="s">
        <v>31</v>
      </c>
      <c r="D40" s="213"/>
      <c r="E40" s="93"/>
      <c r="F40" s="172"/>
      <c r="G40" s="173"/>
      <c r="H40" s="173"/>
      <c r="I40" s="173"/>
      <c r="J40" s="173"/>
      <c r="K40" s="173"/>
      <c r="L40" s="173"/>
      <c r="M40" s="97"/>
      <c r="N40" s="75"/>
      <c r="O40" s="148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7"/>
      <c r="AJ40" s="116"/>
    </row>
    <row r="41" spans="1:36" ht="12" customHeight="1">
      <c r="A41" s="96"/>
      <c r="B41" s="78">
        <v>8.1</v>
      </c>
      <c r="C41" s="174" t="s">
        <v>32</v>
      </c>
      <c r="D41" s="175"/>
      <c r="E41" s="93"/>
      <c r="F41" s="59"/>
      <c r="G41" s="60"/>
      <c r="H41" s="61">
        <v>8</v>
      </c>
      <c r="I41" s="122">
        <f>SUM(O41,Q41,S41,W41,Y41,AA41,AC41,AE41,AG41,AI41)</f>
        <v>1.3</v>
      </c>
      <c r="J41" s="26"/>
      <c r="K41" s="79"/>
      <c r="L41" s="64"/>
      <c r="M41" s="93"/>
      <c r="N41" s="29">
        <v>0.8</v>
      </c>
      <c r="O41" s="149">
        <v>0</v>
      </c>
      <c r="P41" s="29">
        <v>0.8</v>
      </c>
      <c r="Q41" s="149">
        <v>0</v>
      </c>
      <c r="R41" s="29">
        <v>0.8</v>
      </c>
      <c r="S41" s="151">
        <v>0</v>
      </c>
      <c r="T41" s="101"/>
      <c r="U41" s="102"/>
      <c r="V41" s="29">
        <v>0.8</v>
      </c>
      <c r="W41" s="149">
        <v>0</v>
      </c>
      <c r="X41" s="29">
        <v>0.8</v>
      </c>
      <c r="Y41" s="151">
        <v>0</v>
      </c>
      <c r="Z41" s="29">
        <v>0.8</v>
      </c>
      <c r="AA41" s="151">
        <v>0.2</v>
      </c>
      <c r="AB41" s="29">
        <v>0.8</v>
      </c>
      <c r="AC41" s="151">
        <v>0.2</v>
      </c>
      <c r="AD41" s="29">
        <v>0.8</v>
      </c>
      <c r="AE41" s="151">
        <v>0.5</v>
      </c>
      <c r="AF41" s="29">
        <v>0.8</v>
      </c>
      <c r="AG41" s="151">
        <v>0</v>
      </c>
      <c r="AH41" s="29">
        <v>0.8</v>
      </c>
      <c r="AI41" s="151">
        <v>0.4</v>
      </c>
      <c r="AJ41" s="93"/>
    </row>
    <row r="42" spans="1:36" ht="12" customHeight="1">
      <c r="A42" s="95"/>
      <c r="B42" s="214" t="s">
        <v>33</v>
      </c>
      <c r="C42" s="215"/>
      <c r="D42" s="216"/>
      <c r="E42" s="95"/>
      <c r="F42" s="123"/>
      <c r="G42" s="124"/>
      <c r="H42" s="126">
        <f>SUM(H7:H41)</f>
        <v>80</v>
      </c>
      <c r="I42" s="126">
        <f>SUM(O42,Q42,S42,W42,Y42,AA42,AC42,AE42,AG42,AI42)</f>
        <v>80</v>
      </c>
      <c r="J42" s="126"/>
      <c r="K42" s="124"/>
      <c r="L42" s="125"/>
      <c r="M42" s="95"/>
      <c r="N42" s="127">
        <f>SUM(N8:N8,N10:N14,N16:N16,N18:N26,N28:N29,N31,N33:N39,N41)</f>
        <v>8.1</v>
      </c>
      <c r="O42" s="127">
        <f>SUM(O8:O8,O10:O14,O16:O16,O18:O26,O28:O29,O31,O33:O39,O41)</f>
        <v>8.1999999999999993</v>
      </c>
      <c r="P42" s="127">
        <f t="shared" ref="P42:S42" si="3">SUM(P8:P8,P10:P14,P16:P16,P18:P26,P28:P29,P31,P33:P39,P41)</f>
        <v>8.1</v>
      </c>
      <c r="Q42" s="127">
        <f t="shared" si="3"/>
        <v>6.9999999999999991</v>
      </c>
      <c r="R42" s="127">
        <f t="shared" si="3"/>
        <v>11.1</v>
      </c>
      <c r="S42" s="127">
        <f t="shared" si="3"/>
        <v>9</v>
      </c>
      <c r="T42" s="110"/>
      <c r="U42" s="111"/>
      <c r="V42" s="127">
        <f t="shared" ref="V42:AI42" si="4">SUM(V8:V8,V10:V14,V16:V16,V18:V26,V28:V29,V31,V33:V39,V41)</f>
        <v>8.6</v>
      </c>
      <c r="W42" s="127">
        <f t="shared" si="4"/>
        <v>8.2999999999999989</v>
      </c>
      <c r="X42" s="127">
        <f t="shared" si="4"/>
        <v>8.1</v>
      </c>
      <c r="Y42" s="127">
        <f t="shared" si="4"/>
        <v>8</v>
      </c>
      <c r="Z42" s="127">
        <f t="shared" si="4"/>
        <v>7.5999999999999988</v>
      </c>
      <c r="AA42" s="127">
        <f t="shared" si="4"/>
        <v>7.9999999999999991</v>
      </c>
      <c r="AB42" s="127">
        <f t="shared" si="4"/>
        <v>7.5999999999999988</v>
      </c>
      <c r="AC42" s="127">
        <f t="shared" si="4"/>
        <v>7.9999999999999991</v>
      </c>
      <c r="AD42" s="127">
        <f t="shared" si="4"/>
        <v>8.1</v>
      </c>
      <c r="AE42" s="127">
        <f t="shared" si="4"/>
        <v>7.9999999999999991</v>
      </c>
      <c r="AF42" s="127">
        <f t="shared" si="4"/>
        <v>7.0999999999999988</v>
      </c>
      <c r="AG42" s="127">
        <f t="shared" si="4"/>
        <v>8.2999999999999989</v>
      </c>
      <c r="AH42" s="127">
        <f t="shared" si="4"/>
        <v>6.6</v>
      </c>
      <c r="AI42" s="127">
        <f t="shared" si="4"/>
        <v>7.2</v>
      </c>
      <c r="AJ42" s="95"/>
    </row>
    <row r="43" spans="1:36">
      <c r="N43" s="80"/>
    </row>
    <row r="44" spans="1:36">
      <c r="B44" s="81" t="s">
        <v>34</v>
      </c>
      <c r="C44" s="217" t="s">
        <v>53</v>
      </c>
      <c r="D44" s="218"/>
      <c r="I44" s="80"/>
      <c r="N44" s="80"/>
      <c r="AD44" s="80"/>
    </row>
    <row r="45" spans="1:36">
      <c r="B45" s="43" t="s">
        <v>34</v>
      </c>
      <c r="C45" s="202" t="s">
        <v>52</v>
      </c>
      <c r="D45" s="203"/>
      <c r="N45" s="80"/>
      <c r="O45" s="80"/>
      <c r="W45" s="80"/>
      <c r="AE45" s="80"/>
    </row>
    <row r="46" spans="1:36">
      <c r="B46" s="82"/>
      <c r="C46" s="204" t="s">
        <v>57</v>
      </c>
      <c r="D46" s="205"/>
    </row>
    <row r="47" spans="1:36">
      <c r="P47" s="80"/>
    </row>
    <row r="48" spans="1:36">
      <c r="O48" s="80"/>
    </row>
    <row r="50" spans="15:15">
      <c r="O50" s="80"/>
    </row>
  </sheetData>
  <mergeCells count="57">
    <mergeCell ref="C45:D45"/>
    <mergeCell ref="C46:D46"/>
    <mergeCell ref="B5:B6"/>
    <mergeCell ref="C5:D6"/>
    <mergeCell ref="C25:D25"/>
    <mergeCell ref="C40:D40"/>
    <mergeCell ref="B42:D42"/>
    <mergeCell ref="C44:D44"/>
    <mergeCell ref="C30:D30"/>
    <mergeCell ref="C31:D31"/>
    <mergeCell ref="C32:D32"/>
    <mergeCell ref="C33:D33"/>
    <mergeCell ref="C16:D16"/>
    <mergeCell ref="F15:L15"/>
    <mergeCell ref="C7:D7"/>
    <mergeCell ref="C8:D8"/>
    <mergeCell ref="C9:D9"/>
    <mergeCell ref="C10:D10"/>
    <mergeCell ref="C11:D11"/>
    <mergeCell ref="C12:D12"/>
    <mergeCell ref="C14:D14"/>
    <mergeCell ref="C15:D15"/>
    <mergeCell ref="AH5:AI5"/>
    <mergeCell ref="F7:L7"/>
    <mergeCell ref="F9:L9"/>
    <mergeCell ref="K4:L4"/>
    <mergeCell ref="N4:AG4"/>
    <mergeCell ref="N5:O5"/>
    <mergeCell ref="P5:Q5"/>
    <mergeCell ref="R5:S5"/>
    <mergeCell ref="V5:W5"/>
    <mergeCell ref="X5:Y5"/>
    <mergeCell ref="Z5:AA5"/>
    <mergeCell ref="AB5:AC5"/>
    <mergeCell ref="F4:G4"/>
    <mergeCell ref="H4:J4"/>
    <mergeCell ref="AD5:AE5"/>
    <mergeCell ref="AF5:AG5"/>
    <mergeCell ref="F40:L40"/>
    <mergeCell ref="C41:D41"/>
    <mergeCell ref="C34:D34"/>
    <mergeCell ref="C35:D35"/>
    <mergeCell ref="C36:D36"/>
    <mergeCell ref="C38:D38"/>
    <mergeCell ref="C39:D39"/>
    <mergeCell ref="F32:L32"/>
    <mergeCell ref="C22:D22"/>
    <mergeCell ref="C23:D23"/>
    <mergeCell ref="C26:D26"/>
    <mergeCell ref="C17:D17"/>
    <mergeCell ref="C18:D18"/>
    <mergeCell ref="C19:D19"/>
    <mergeCell ref="C20:D20"/>
    <mergeCell ref="C21:D21"/>
    <mergeCell ref="F17:L17"/>
    <mergeCell ref="C27:D27"/>
    <mergeCell ref="F27:L27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B2:I42"/>
  <sheetViews>
    <sheetView workbookViewId="0">
      <selection activeCell="F17" sqref="F17"/>
    </sheetView>
  </sheetViews>
  <sheetFormatPr baseColWidth="10" defaultRowHeight="15"/>
  <cols>
    <col min="1" max="1" width="1.42578125" customWidth="1"/>
    <col min="2" max="2" width="5.85546875" style="132" customWidth="1"/>
    <col min="3" max="3" width="39.42578125" bestFit="1" customWidth="1"/>
    <col min="4" max="4" width="22.85546875" style="137" bestFit="1" customWidth="1"/>
    <col min="5" max="5" width="16.85546875" style="137" customWidth="1"/>
  </cols>
  <sheetData>
    <row r="2" spans="2:9">
      <c r="B2" s="139" t="s">
        <v>58</v>
      </c>
      <c r="C2" s="128" t="s">
        <v>59</v>
      </c>
      <c r="D2" s="139" t="s">
        <v>60</v>
      </c>
      <c r="E2" s="139" t="s">
        <v>61</v>
      </c>
      <c r="F2" s="134"/>
      <c r="G2" s="134"/>
      <c r="H2" s="134"/>
      <c r="I2" s="134"/>
    </row>
    <row r="3" spans="2:9">
      <c r="B3" s="131">
        <v>2.2000000000000002</v>
      </c>
      <c r="C3" s="134" t="s">
        <v>38</v>
      </c>
      <c r="D3" s="140" t="s">
        <v>64</v>
      </c>
      <c r="E3" s="141">
        <v>42450</v>
      </c>
      <c r="F3" s="134"/>
      <c r="G3" s="134"/>
      <c r="H3" s="134"/>
      <c r="I3" s="134"/>
    </row>
    <row r="4" spans="2:9">
      <c r="B4" s="131">
        <v>4.0999999999999996</v>
      </c>
      <c r="C4" s="134" t="s">
        <v>39</v>
      </c>
      <c r="D4" s="140" t="s">
        <v>65</v>
      </c>
      <c r="E4" s="141">
        <v>42453</v>
      </c>
      <c r="F4" s="134"/>
      <c r="G4" s="134"/>
      <c r="H4" s="134"/>
      <c r="I4" s="134"/>
    </row>
    <row r="5" spans="2:9">
      <c r="B5" s="131">
        <v>4.4000000000000004</v>
      </c>
      <c r="C5" s="134" t="s">
        <v>62</v>
      </c>
      <c r="D5" s="140" t="s">
        <v>66</v>
      </c>
      <c r="E5" s="141">
        <v>42460</v>
      </c>
      <c r="F5" s="134"/>
      <c r="G5" s="134"/>
      <c r="H5" s="134"/>
      <c r="I5" s="134"/>
    </row>
    <row r="6" spans="2:9">
      <c r="B6" s="131">
        <v>4.9000000000000004</v>
      </c>
      <c r="C6" s="134" t="s">
        <v>63</v>
      </c>
      <c r="D6" s="140" t="s">
        <v>67</v>
      </c>
      <c r="E6" s="141">
        <v>42461</v>
      </c>
      <c r="F6" s="134"/>
      <c r="G6" s="134"/>
      <c r="H6" s="134"/>
      <c r="I6" s="134"/>
    </row>
    <row r="7" spans="2:9">
      <c r="B7" s="131">
        <v>6.1</v>
      </c>
      <c r="C7" s="134" t="s">
        <v>47</v>
      </c>
      <c r="D7" s="140" t="s">
        <v>68</v>
      </c>
      <c r="E7" s="141">
        <v>42467</v>
      </c>
      <c r="F7" s="134"/>
      <c r="G7" s="134"/>
      <c r="H7" s="134"/>
      <c r="I7" s="134"/>
    </row>
    <row r="8" spans="2:9">
      <c r="B8" s="140"/>
      <c r="C8" s="134"/>
      <c r="D8" s="140"/>
      <c r="E8" s="140"/>
      <c r="F8" s="134"/>
      <c r="G8" s="134"/>
      <c r="H8" s="134"/>
      <c r="I8" s="134"/>
    </row>
    <row r="9" spans="2:9">
      <c r="B9" s="135"/>
      <c r="C9" s="134"/>
      <c r="D9" s="140"/>
      <c r="E9" s="140"/>
      <c r="F9" s="134"/>
      <c r="G9" s="134"/>
      <c r="H9" s="134"/>
      <c r="I9" s="134"/>
    </row>
    <row r="10" spans="2:9">
      <c r="B10" s="135"/>
      <c r="C10" s="134"/>
      <c r="D10" s="140"/>
      <c r="E10" s="140"/>
      <c r="F10" s="134"/>
      <c r="G10" s="134"/>
      <c r="H10" s="134"/>
      <c r="I10" s="134"/>
    </row>
    <row r="11" spans="2:9">
      <c r="B11" s="139" t="s">
        <v>58</v>
      </c>
      <c r="C11" s="128" t="s">
        <v>5</v>
      </c>
      <c r="D11" s="139" t="s">
        <v>69</v>
      </c>
      <c r="E11" s="139"/>
      <c r="F11" s="134"/>
      <c r="G11" s="134"/>
      <c r="H11" s="134"/>
      <c r="I11" s="134"/>
    </row>
    <row r="12" spans="2:9" ht="32.25" customHeight="1">
      <c r="B12" s="131">
        <v>1.1000000000000001</v>
      </c>
      <c r="C12" s="135" t="s">
        <v>36</v>
      </c>
      <c r="D12" s="231" t="s">
        <v>70</v>
      </c>
      <c r="E12" s="231"/>
      <c r="F12" s="134"/>
      <c r="G12" s="134"/>
      <c r="H12" s="134"/>
      <c r="I12" s="134"/>
    </row>
    <row r="13" spans="2:9" ht="74.25" customHeight="1">
      <c r="B13" s="131">
        <v>2.1</v>
      </c>
      <c r="C13" s="135" t="s">
        <v>71</v>
      </c>
      <c r="D13" s="230" t="s">
        <v>72</v>
      </c>
      <c r="E13" s="231"/>
      <c r="F13" s="134"/>
      <c r="G13" s="134"/>
      <c r="H13" s="134"/>
      <c r="I13" s="134"/>
    </row>
    <row r="14" spans="2:9" ht="45" customHeight="1">
      <c r="B14" s="131">
        <v>2.2000000000000002</v>
      </c>
      <c r="C14" s="135" t="s">
        <v>38</v>
      </c>
      <c r="D14" s="230" t="s">
        <v>73</v>
      </c>
      <c r="E14" s="231"/>
      <c r="F14" s="134"/>
      <c r="G14" s="134"/>
      <c r="H14" s="134"/>
      <c r="I14" s="134"/>
    </row>
    <row r="15" spans="2:9" ht="49.5" customHeight="1">
      <c r="B15" s="131">
        <v>2.2999999999999998</v>
      </c>
      <c r="C15" s="135" t="s">
        <v>74</v>
      </c>
      <c r="D15" s="231" t="s">
        <v>75</v>
      </c>
      <c r="E15" s="231"/>
      <c r="F15" s="134"/>
      <c r="G15" s="134"/>
      <c r="H15" s="134"/>
      <c r="I15" s="134"/>
    </row>
    <row r="16" spans="2:9" ht="29.25" customHeight="1">
      <c r="B16" s="131">
        <v>2.4</v>
      </c>
      <c r="C16" s="135" t="s">
        <v>76</v>
      </c>
      <c r="D16" s="231" t="s">
        <v>77</v>
      </c>
      <c r="E16" s="231"/>
      <c r="F16" s="134"/>
      <c r="G16" s="134"/>
      <c r="H16" s="134"/>
      <c r="I16" s="134"/>
    </row>
    <row r="17" spans="2:9" ht="66.75" customHeight="1">
      <c r="B17" s="131">
        <v>3.1</v>
      </c>
      <c r="C17" s="136" t="s">
        <v>78</v>
      </c>
      <c r="D17" s="230" t="s">
        <v>79</v>
      </c>
      <c r="E17" s="230"/>
      <c r="F17" s="134"/>
      <c r="G17" s="134"/>
      <c r="H17" s="134"/>
      <c r="I17" s="134"/>
    </row>
    <row r="18" spans="2:9" ht="61.5" customHeight="1">
      <c r="B18" s="131">
        <v>4.0999999999999996</v>
      </c>
      <c r="C18" s="136" t="s">
        <v>39</v>
      </c>
      <c r="D18" s="230" t="s">
        <v>80</v>
      </c>
      <c r="E18" s="230"/>
      <c r="F18" s="134"/>
      <c r="G18" s="134"/>
      <c r="H18" s="134"/>
      <c r="I18" s="134"/>
    </row>
    <row r="19" spans="2:9" ht="77.25" customHeight="1">
      <c r="B19" s="131">
        <v>4.2</v>
      </c>
      <c r="C19" s="136" t="s">
        <v>40</v>
      </c>
      <c r="D19" s="230" t="s">
        <v>81</v>
      </c>
      <c r="E19" s="230"/>
      <c r="F19" s="134"/>
      <c r="G19" s="134"/>
      <c r="H19" s="134"/>
      <c r="I19" s="134"/>
    </row>
    <row r="20" spans="2:9" ht="76.5" customHeight="1">
      <c r="B20" s="131">
        <v>4.3</v>
      </c>
      <c r="C20" s="138" t="s">
        <v>41</v>
      </c>
      <c r="D20" s="230" t="s">
        <v>82</v>
      </c>
      <c r="E20" s="230"/>
      <c r="F20" s="134"/>
      <c r="G20" s="134"/>
      <c r="H20" s="134"/>
      <c r="I20" s="134"/>
    </row>
    <row r="21" spans="2:9" ht="62.25" customHeight="1">
      <c r="B21" s="131">
        <v>4.4000000000000004</v>
      </c>
      <c r="C21" s="136" t="s">
        <v>42</v>
      </c>
      <c r="D21" s="230" t="s">
        <v>83</v>
      </c>
      <c r="E21" s="230"/>
      <c r="F21" s="134"/>
      <c r="G21" s="134"/>
      <c r="H21" s="134"/>
      <c r="I21" s="134"/>
    </row>
    <row r="22" spans="2:9" ht="48.75" customHeight="1">
      <c r="B22" s="131">
        <v>4.5</v>
      </c>
      <c r="C22" s="136" t="s">
        <v>43</v>
      </c>
      <c r="D22" s="230" t="s">
        <v>84</v>
      </c>
      <c r="E22" s="230"/>
      <c r="F22" s="134"/>
      <c r="G22" s="134"/>
      <c r="H22" s="134"/>
      <c r="I22" s="134"/>
    </row>
    <row r="23" spans="2:9" ht="60.75" customHeight="1">
      <c r="B23" s="131">
        <v>4.5999999999999996</v>
      </c>
      <c r="C23" s="136" t="s">
        <v>44</v>
      </c>
      <c r="D23" s="230" t="s">
        <v>85</v>
      </c>
      <c r="E23" s="230"/>
      <c r="F23" s="134"/>
      <c r="G23" s="134"/>
      <c r="H23" s="134"/>
      <c r="I23" s="134"/>
    </row>
    <row r="24" spans="2:9" ht="49.5" customHeight="1">
      <c r="B24" s="131">
        <v>4.7</v>
      </c>
      <c r="C24" s="136" t="s">
        <v>22</v>
      </c>
      <c r="D24" s="230" t="s">
        <v>86</v>
      </c>
      <c r="E24" s="230"/>
      <c r="F24" s="134"/>
      <c r="G24" s="134"/>
      <c r="H24" s="134"/>
      <c r="I24" s="134"/>
    </row>
    <row r="25" spans="2:9" ht="48" customHeight="1">
      <c r="B25" s="131">
        <v>4.8</v>
      </c>
      <c r="C25" s="136" t="s">
        <v>45</v>
      </c>
      <c r="D25" s="230" t="s">
        <v>87</v>
      </c>
      <c r="E25" s="230"/>
      <c r="F25" s="134"/>
      <c r="G25" s="134"/>
      <c r="H25" s="134"/>
      <c r="I25" s="134"/>
    </row>
    <row r="26" spans="2:9" ht="20.25" customHeight="1">
      <c r="B26" s="131">
        <v>4.9000000000000004</v>
      </c>
      <c r="C26" s="136" t="s">
        <v>23</v>
      </c>
      <c r="D26" s="230" t="s">
        <v>88</v>
      </c>
      <c r="E26" s="230"/>
      <c r="F26" s="134"/>
      <c r="G26" s="134"/>
      <c r="H26" s="134"/>
      <c r="I26" s="134"/>
    </row>
    <row r="27" spans="2:9" ht="35.25" customHeight="1">
      <c r="B27" s="131">
        <v>5.0999999999999996</v>
      </c>
      <c r="C27" s="136" t="s">
        <v>25</v>
      </c>
      <c r="D27" s="230" t="s">
        <v>89</v>
      </c>
      <c r="E27" s="230"/>
      <c r="F27" s="134"/>
      <c r="G27" s="134"/>
      <c r="H27" s="134"/>
      <c r="I27" s="134"/>
    </row>
    <row r="28" spans="2:9" ht="35.25" customHeight="1">
      <c r="B28" s="131">
        <v>5.2</v>
      </c>
      <c r="C28" s="136" t="s">
        <v>26</v>
      </c>
      <c r="D28" s="230" t="s">
        <v>90</v>
      </c>
      <c r="E28" s="230"/>
      <c r="F28" s="134"/>
      <c r="G28" s="134"/>
      <c r="H28" s="134"/>
      <c r="I28" s="134"/>
    </row>
    <row r="29" spans="2:9" ht="63" customHeight="1">
      <c r="B29" s="131">
        <v>6.1</v>
      </c>
      <c r="C29" s="136" t="s">
        <v>47</v>
      </c>
      <c r="D29" s="230" t="s">
        <v>91</v>
      </c>
      <c r="E29" s="230"/>
      <c r="F29" s="134"/>
      <c r="G29" s="134"/>
      <c r="H29" s="134"/>
      <c r="I29" s="134"/>
    </row>
    <row r="30" spans="2:9" ht="51.75" customHeight="1">
      <c r="B30" s="131">
        <v>7.1</v>
      </c>
      <c r="C30" s="136" t="s">
        <v>48</v>
      </c>
      <c r="D30" s="230" t="s">
        <v>92</v>
      </c>
      <c r="E30" s="230"/>
      <c r="F30" s="134"/>
      <c r="G30" s="134"/>
      <c r="H30" s="134"/>
      <c r="I30" s="134"/>
    </row>
    <row r="31" spans="2:9" ht="51.75" customHeight="1">
      <c r="B31" s="131">
        <v>7.2</v>
      </c>
      <c r="C31" s="136" t="s">
        <v>28</v>
      </c>
      <c r="D31" s="230" t="s">
        <v>93</v>
      </c>
      <c r="E31" s="230"/>
      <c r="F31" s="134"/>
      <c r="G31" s="134"/>
      <c r="H31" s="134"/>
      <c r="I31" s="134"/>
    </row>
    <row r="32" spans="2:9" ht="45" customHeight="1">
      <c r="B32" s="131">
        <v>7.3</v>
      </c>
      <c r="C32" s="136" t="s">
        <v>29</v>
      </c>
      <c r="D32" s="230" t="s">
        <v>94</v>
      </c>
      <c r="E32" s="230"/>
      <c r="F32" s="134"/>
      <c r="G32" s="134"/>
      <c r="H32" s="134"/>
      <c r="I32" s="134"/>
    </row>
    <row r="33" spans="2:9" ht="50.25" customHeight="1">
      <c r="B33" s="131">
        <v>7.4</v>
      </c>
      <c r="C33" s="136" t="s">
        <v>49</v>
      </c>
      <c r="D33" s="230" t="s">
        <v>95</v>
      </c>
      <c r="E33" s="230"/>
      <c r="F33" s="134"/>
      <c r="G33" s="134"/>
      <c r="H33" s="134"/>
      <c r="I33" s="134"/>
    </row>
    <row r="34" spans="2:9" ht="50.25" customHeight="1">
      <c r="B34" s="131">
        <v>7.5</v>
      </c>
      <c r="C34" s="136" t="s">
        <v>96</v>
      </c>
      <c r="D34" s="230" t="s">
        <v>97</v>
      </c>
      <c r="E34" s="230"/>
      <c r="F34" s="134"/>
      <c r="G34" s="134"/>
      <c r="H34" s="134"/>
      <c r="I34" s="134"/>
    </row>
    <row r="35" spans="2:9" ht="72.75" customHeight="1">
      <c r="B35" s="131">
        <v>7.6</v>
      </c>
      <c r="C35" s="136" t="s">
        <v>50</v>
      </c>
      <c r="D35" s="230" t="s">
        <v>98</v>
      </c>
      <c r="E35" s="230"/>
      <c r="F35" s="134"/>
      <c r="G35" s="134"/>
      <c r="H35" s="134"/>
      <c r="I35" s="134"/>
    </row>
    <row r="36" spans="2:9" ht="76.5" customHeight="1">
      <c r="B36" s="131">
        <v>7.7</v>
      </c>
      <c r="C36" s="136" t="s">
        <v>51</v>
      </c>
      <c r="D36" s="230" t="s">
        <v>99</v>
      </c>
      <c r="E36" s="230"/>
      <c r="F36" s="134"/>
      <c r="G36" s="134"/>
      <c r="H36" s="134"/>
      <c r="I36" s="134"/>
    </row>
    <row r="37" spans="2:9">
      <c r="B37" s="131">
        <v>8.1</v>
      </c>
      <c r="C37" s="136" t="s">
        <v>32</v>
      </c>
      <c r="D37" s="229" t="s">
        <v>100</v>
      </c>
      <c r="E37" s="229"/>
      <c r="F37" s="134"/>
      <c r="G37" s="134"/>
      <c r="H37" s="134"/>
      <c r="I37" s="134"/>
    </row>
    <row r="38" spans="2:9">
      <c r="C38" s="133"/>
      <c r="D38" s="229"/>
      <c r="E38" s="229"/>
    </row>
    <row r="39" spans="2:9">
      <c r="C39" s="133"/>
      <c r="D39" s="229"/>
      <c r="E39" s="229"/>
    </row>
    <row r="40" spans="2:9">
      <c r="C40" s="133"/>
      <c r="D40" s="229"/>
      <c r="E40" s="229"/>
    </row>
    <row r="41" spans="2:9">
      <c r="D41" s="229"/>
      <c r="E41" s="229"/>
    </row>
    <row r="42" spans="2:9">
      <c r="D42" s="229"/>
      <c r="E42" s="229"/>
    </row>
  </sheetData>
  <mergeCells count="31">
    <mergeCell ref="D17:E17"/>
    <mergeCell ref="D26:E26"/>
    <mergeCell ref="D27:E27"/>
    <mergeCell ref="D28:E28"/>
    <mergeCell ref="D29:E29"/>
    <mergeCell ref="D22:E22"/>
    <mergeCell ref="D23:E23"/>
    <mergeCell ref="D24:E24"/>
    <mergeCell ref="D25:E25"/>
    <mergeCell ref="D18:E18"/>
    <mergeCell ref="D19:E19"/>
    <mergeCell ref="D20:E20"/>
    <mergeCell ref="D21:E21"/>
    <mergeCell ref="D12:E12"/>
    <mergeCell ref="D13:E13"/>
    <mergeCell ref="D14:E14"/>
    <mergeCell ref="D15:E15"/>
    <mergeCell ref="D16:E16"/>
    <mergeCell ref="D42:E42"/>
    <mergeCell ref="D30:E30"/>
    <mergeCell ref="D31:E31"/>
    <mergeCell ref="D32:E32"/>
    <mergeCell ref="D33:E33"/>
    <mergeCell ref="D39:E39"/>
    <mergeCell ref="D34:E34"/>
    <mergeCell ref="D35:E35"/>
    <mergeCell ref="D36:E36"/>
    <mergeCell ref="D37:E37"/>
    <mergeCell ref="D38:E38"/>
    <mergeCell ref="D40:E40"/>
    <mergeCell ref="D41:E41"/>
  </mergeCells>
  <pageMargins left="0.7" right="0.7" top="0.78740157499999996" bottom="0.78740157499999996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Zeitplan</vt:lpstr>
      <vt:lpstr>Tätigkeiten &amp; Meilensteine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2016-04-12T06:38:16Z</dcterms:modified>
</cp:coreProperties>
</file>